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user\Desktop\"/>
    </mc:Choice>
  </mc:AlternateContent>
  <xr:revisionPtr revIDLastSave="0" documentId="13_ncr:1_{F8F6CA4D-4304-4773-AC87-DB42E023E961}" xr6:coauthVersionLast="47" xr6:coauthVersionMax="47" xr10:uidLastSave="{00000000-0000-0000-0000-000000000000}"/>
  <bookViews>
    <workbookView xWindow="-120" yWindow="-120" windowWidth="20730" windowHeight="11160" xr2:uid="{19117C64-4DC8-45EB-8847-B91D5131A7F9}"/>
  </bookViews>
  <sheets>
    <sheet name="INTRODUCCION" sheetId="6" r:id="rId1"/>
    <sheet name="BD_ESTUDIANTES" sheetId="1" r:id="rId2"/>
    <sheet name="CONSULTAS" sheetId="2" r:id="rId3"/>
    <sheet name="DASHBOARD" sheetId="4" r:id="rId4"/>
    <sheet name="CALCULOS" sheetId="5" r:id="rId5"/>
  </sheets>
  <functionGroups builtInGroupCount="19"/>
  <definedNames>
    <definedName name="_xlnm._FilterDatabase" localSheetId="1" hidden="1">BD_ESTUDIANTES!$B$4:$R$38</definedName>
    <definedName name="_xleta.IF" hidden="1" xlm="1">#NAME?</definedName>
    <definedName name="_xlnm.Extract" localSheetId="2">CONSULTAS!$B$9:$N$9</definedName>
    <definedName name="BASEDATOS">Tabla1[#All]</definedName>
    <definedName name="_xlnm.Criteria" localSheetId="2">CONSULTAS!$B$4:$I$5</definedName>
    <definedName name="REGISTROS">Tabla1[]</definedName>
    <definedName name="SegmentaciónDeDatos_Carrera">#N/A</definedName>
    <definedName name="SegmentaciónDeDatos_Categoria">#N/A</definedName>
    <definedName name="SegmentaciónDeDatos_Fecha_Matricula2">#N/A</definedName>
    <definedName name="SegmentaciónDeDatos_Se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 l="1"/>
  <c r="C92" i="5"/>
  <c r="D67" i="5"/>
  <c r="E13" i="5"/>
  <c r="E36" i="5"/>
  <c r="E24" i="5"/>
  <c r="E53" i="5"/>
  <c r="E67" i="5" l="1"/>
  <c r="E56" i="5"/>
  <c r="G56" i="5" s="1"/>
  <c r="E38" i="5"/>
  <c r="E26" i="5"/>
  <c r="R38" i="1"/>
  <c r="R15" i="1"/>
  <c r="R16" i="1"/>
  <c r="R17" i="1"/>
  <c r="R18" i="1"/>
  <c r="R19" i="1"/>
  <c r="R20" i="1"/>
  <c r="R21" i="1"/>
  <c r="R22" i="1"/>
  <c r="R23" i="1"/>
  <c r="R24" i="1"/>
  <c r="R25" i="1"/>
  <c r="R26" i="1"/>
  <c r="R27" i="1"/>
  <c r="R28" i="1"/>
  <c r="R29" i="1"/>
  <c r="R30" i="1"/>
  <c r="R31" i="1"/>
  <c r="R32" i="1"/>
  <c r="R33" i="1"/>
  <c r="R34" i="1"/>
  <c r="R35" i="1"/>
  <c r="R36" i="1"/>
  <c r="R37" i="1"/>
  <c r="R14" i="1"/>
  <c r="R13" i="1"/>
  <c r="K7" i="2"/>
  <c r="R12" i="1"/>
  <c r="R11" i="1"/>
  <c r="R10" i="1"/>
  <c r="R9" i="1"/>
  <c r="R8" i="1"/>
  <c r="R7" i="1"/>
  <c r="P2" i="1"/>
  <c r="R5" i="1"/>
  <c r="R6" i="1"/>
  <c r="F2" i="5"/>
  <c r="B6" i="5"/>
  <c r="F3" i="5"/>
  <c r="E15" i="5" l="1"/>
  <c r="G2" i="5"/>
  <c r="G3" i="5"/>
</calcChain>
</file>

<file path=xl/sharedStrings.xml><?xml version="1.0" encoding="utf-8"?>
<sst xmlns="http://schemas.openxmlformats.org/spreadsheetml/2006/main" count="566" uniqueCount="208">
  <si>
    <t>DNI</t>
  </si>
  <si>
    <t>Estado Civil</t>
  </si>
  <si>
    <t>Fecha_Matricula</t>
  </si>
  <si>
    <t>Edad</t>
  </si>
  <si>
    <t>Genero</t>
  </si>
  <si>
    <t>Alumno</t>
  </si>
  <si>
    <t>Nº Carnet</t>
  </si>
  <si>
    <t>Codigo</t>
  </si>
  <si>
    <t>Carrera</t>
  </si>
  <si>
    <t>Correo_Electronico</t>
  </si>
  <si>
    <t>Nivel_Ingles</t>
  </si>
  <si>
    <t>Categoria</t>
  </si>
  <si>
    <t>Tipo_Colegio</t>
  </si>
  <si>
    <t>Discapacidad</t>
  </si>
  <si>
    <t>REGISTRO DE ESTUDIANTES MATRICULADOS</t>
  </si>
  <si>
    <t>u17202725</t>
  </si>
  <si>
    <t>u17202726</t>
  </si>
  <si>
    <t>Lopez Quispe Jose Arturo</t>
  </si>
  <si>
    <t>Sunny Vilca Jasmin Esperanza</t>
  </si>
  <si>
    <t>Masculino</t>
  </si>
  <si>
    <t>Femenino</t>
  </si>
  <si>
    <t>Soltero</t>
  </si>
  <si>
    <t>jose.lopez@gmail.com</t>
  </si>
  <si>
    <t>sunnyjazmin@hotmail.com</t>
  </si>
  <si>
    <t>Negocios Internacionales</t>
  </si>
  <si>
    <t>Ingenieria Industrial</t>
  </si>
  <si>
    <t>Basico</t>
  </si>
  <si>
    <t>Intermedio</t>
  </si>
  <si>
    <t>C</t>
  </si>
  <si>
    <t>A</t>
  </si>
  <si>
    <t>D</t>
  </si>
  <si>
    <t>Estatal</t>
  </si>
  <si>
    <t>NO</t>
  </si>
  <si>
    <t>Privado</t>
  </si>
  <si>
    <t>Telefono</t>
  </si>
  <si>
    <t>PENSION</t>
  </si>
  <si>
    <t>B</t>
  </si>
  <si>
    <t>ingmiguellajo@gmail.com</t>
  </si>
  <si>
    <t>Silva Rodriguez Rosa Carmen</t>
  </si>
  <si>
    <t>14/03/2017</t>
  </si>
  <si>
    <t>silva.rosa@linea1.com</t>
  </si>
  <si>
    <t>Marketing</t>
  </si>
  <si>
    <t>Casado</t>
  </si>
  <si>
    <t>SI</t>
  </si>
  <si>
    <t>Avanzado</t>
  </si>
  <si>
    <t>Lajo Bernahola Miguel Angel</t>
  </si>
  <si>
    <t>CONSULTA DE DATOS</t>
  </si>
  <si>
    <t>u17202727</t>
  </si>
  <si>
    <t>u17202728</t>
  </si>
  <si>
    <t>Quispe Quispe Manuela Kim</t>
  </si>
  <si>
    <t>kimquispe@gmail.com</t>
  </si>
  <si>
    <t>Ciencias de la Salud</t>
  </si>
  <si>
    <t>Otro</t>
  </si>
  <si>
    <t>Suasnabar Lujan Maria Elena</t>
  </si>
  <si>
    <t>18/02/2017</t>
  </si>
  <si>
    <t>lujan_maria@gmail.com</t>
  </si>
  <si>
    <t>Diseño</t>
  </si>
  <si>
    <t>Quintana Rosal Jose Luis</t>
  </si>
  <si>
    <t>rosaljose.21@hotmail.com</t>
  </si>
  <si>
    <t>Comunicaciones</t>
  </si>
  <si>
    <t>Rivera Ortiz Jose Armando</t>
  </si>
  <si>
    <t>rosales22@gmail.com</t>
  </si>
  <si>
    <t>Economia</t>
  </si>
  <si>
    <t>u17202729</t>
  </si>
  <si>
    <t>u17202730</t>
  </si>
  <si>
    <t>u17202731</t>
  </si>
  <si>
    <t>u17202732</t>
  </si>
  <si>
    <t>TOTAL PENSION:</t>
  </si>
  <si>
    <t>Etiquetas de fila</t>
  </si>
  <si>
    <t>Total general</t>
  </si>
  <si>
    <t>Cuenta de Genero</t>
  </si>
  <si>
    <t>Total de personas:</t>
  </si>
  <si>
    <t>% de Genero</t>
  </si>
  <si>
    <t>Indicador</t>
  </si>
  <si>
    <t>Complemento</t>
  </si>
  <si>
    <t>u17202733</t>
  </si>
  <si>
    <t>u17202734</t>
  </si>
  <si>
    <t xml:space="preserve">Oviedo Ruiz Manuel </t>
  </si>
  <si>
    <t xml:space="preserve">Perez Orosco Jesus </t>
  </si>
  <si>
    <t>Oviedo.25@hotmail.com</t>
  </si>
  <si>
    <t>Perez_jesus@gmail.com</t>
  </si>
  <si>
    <t>Cuenta de Nivel_Ingles</t>
  </si>
  <si>
    <t>Rosario Gabriel Abiyeli</t>
  </si>
  <si>
    <t>Borges Valdes Addys</t>
  </si>
  <si>
    <t>Ortiz Cirilo Alejo</t>
  </si>
  <si>
    <t>Ramirez Granados Alfredo</t>
  </si>
  <si>
    <t>Loredo Cabrera Alma Delia</t>
  </si>
  <si>
    <t>Delgadillo Lee Amadeo</t>
  </si>
  <si>
    <t>Garcia Anduaga Ana Cristina</t>
  </si>
  <si>
    <t>Mejia Zaragoza Anahy</t>
  </si>
  <si>
    <t>Martinez Aburto Angelica</t>
  </si>
  <si>
    <t>Juarez Perez Angelica Noemi</t>
  </si>
  <si>
    <t>Lopez Lopez Antonieta</t>
  </si>
  <si>
    <t>Garcia Zuñiga Ariel</t>
  </si>
  <si>
    <t>Contreras Valadez Blanca Cecilia</t>
  </si>
  <si>
    <t>Esquivel Robles Claudia</t>
  </si>
  <si>
    <t>Hernandez Ramirez Claudia Ivonne</t>
  </si>
  <si>
    <t>Ortega Rodriguez Cristina</t>
  </si>
  <si>
    <t>Tapia Terrazas Cyntia Desiree</t>
  </si>
  <si>
    <t>Moreno Garcia Daniel</t>
  </si>
  <si>
    <t>Dominguez Sosa Daniel</t>
  </si>
  <si>
    <t>Rodriguez Flores Daniela</t>
  </si>
  <si>
    <t>Garduño Bautista David</t>
  </si>
  <si>
    <t>Romero Guzman Diana</t>
  </si>
  <si>
    <t>Ramires Ramos Beatriz Magdalena</t>
  </si>
  <si>
    <t>u17202735</t>
  </si>
  <si>
    <t>u17202736</t>
  </si>
  <si>
    <t>u17202737</t>
  </si>
  <si>
    <t>u17202738</t>
  </si>
  <si>
    <t>u17202739</t>
  </si>
  <si>
    <t>u17202740</t>
  </si>
  <si>
    <t>u17202741</t>
  </si>
  <si>
    <t>u17202742</t>
  </si>
  <si>
    <t>u17202743</t>
  </si>
  <si>
    <t>u17202744</t>
  </si>
  <si>
    <t>u17202745</t>
  </si>
  <si>
    <t>u17202746</t>
  </si>
  <si>
    <t>u17202747</t>
  </si>
  <si>
    <t>u17202748</t>
  </si>
  <si>
    <t>u17202749</t>
  </si>
  <si>
    <t>u17202750</t>
  </si>
  <si>
    <t>u17202751</t>
  </si>
  <si>
    <t>u17202752</t>
  </si>
  <si>
    <t>u17202753</t>
  </si>
  <si>
    <t>u17202754</t>
  </si>
  <si>
    <t>u17202755</t>
  </si>
  <si>
    <t>u17202756</t>
  </si>
  <si>
    <t>u17202757</t>
  </si>
  <si>
    <t>Rosario_Abiyeli@gmail.com</t>
  </si>
  <si>
    <t>Borges_Addys@gmail.com</t>
  </si>
  <si>
    <t>Ortiz_Alejo@gmail.com</t>
  </si>
  <si>
    <t>Ramirez_Alfredo@gmail.com</t>
  </si>
  <si>
    <t>Loredo_Delia@gmail.com</t>
  </si>
  <si>
    <t>Delgadillo_Amadeo@gmail.com</t>
  </si>
  <si>
    <t>Garcia_Cristina@gmail.com</t>
  </si>
  <si>
    <t>Mejia_Anahy@gmail.com</t>
  </si>
  <si>
    <t>Martinez_Angelica@gmail.com</t>
  </si>
  <si>
    <t>Juarez_Noemi@gmail.com</t>
  </si>
  <si>
    <t>Lopez_Antonieta@gmail.com</t>
  </si>
  <si>
    <t>Garcia_Ariel@gmail.com</t>
  </si>
  <si>
    <t>Ramires_Magdalena@gmail.com</t>
  </si>
  <si>
    <t>Contreras_Cecilia@gmail.com</t>
  </si>
  <si>
    <t>Esquivel_Claudia@gmail.com</t>
  </si>
  <si>
    <t>Hernandez_Ivonne@gmail.com</t>
  </si>
  <si>
    <t>Ortega_Cristina@gmail.com</t>
  </si>
  <si>
    <t>Tapia_Desiree@gmail.com</t>
  </si>
  <si>
    <t>Moreno_Daniel@gmail.com</t>
  </si>
  <si>
    <t>Dominguez_Daniel@gmail.com</t>
  </si>
  <si>
    <t>Rodriguez_Daniela@gmail.com</t>
  </si>
  <si>
    <t>Garduño_David@gmail.com</t>
  </si>
  <si>
    <t>Romero_Diana@gmail.com</t>
  </si>
  <si>
    <t>Administracion de Empresas</t>
  </si>
  <si>
    <t>Arquitectura</t>
  </si>
  <si>
    <t>Ciencias Humanas</t>
  </si>
  <si>
    <t>Derecho</t>
  </si>
  <si>
    <t>Educacion</t>
  </si>
  <si>
    <t>Ingenieria</t>
  </si>
  <si>
    <t>Psicologia</t>
  </si>
  <si>
    <t>18/02/2018</t>
  </si>
  <si>
    <t>Sede</t>
  </si>
  <si>
    <t>Luna Sarmiento Luis Jorge</t>
  </si>
  <si>
    <t>23/03/2019</t>
  </si>
  <si>
    <t>Luna.Okey@hotmail.com</t>
  </si>
  <si>
    <t>u17202758</t>
  </si>
  <si>
    <t>Lima Norte</t>
  </si>
  <si>
    <t>Lima Sur</t>
  </si>
  <si>
    <t>Arequipa</t>
  </si>
  <si>
    <t>Lima Centro</t>
  </si>
  <si>
    <t>Lima Este - SJL</t>
  </si>
  <si>
    <t>Trujillo</t>
  </si>
  <si>
    <t>Aguja</t>
  </si>
  <si>
    <t>Resta</t>
  </si>
  <si>
    <t>Satisfaccion</t>
  </si>
  <si>
    <t>Satisfecho</t>
  </si>
  <si>
    <t>No Satisfecho</t>
  </si>
  <si>
    <t>Pacialmente Satisfecho</t>
  </si>
  <si>
    <t>Cuenta de Satisfaccion</t>
  </si>
  <si>
    <t>Velocimetro_01</t>
  </si>
  <si>
    <t>Velocimetro_02</t>
  </si>
  <si>
    <t>Cuenta de Estado Civil</t>
  </si>
  <si>
    <t>Velocimetro_03</t>
  </si>
  <si>
    <t>Cuenta de Tipo_Colegio</t>
  </si>
  <si>
    <t>Grafico lineal  Semaforo</t>
  </si>
  <si>
    <t>barra</t>
  </si>
  <si>
    <t>aguja</t>
  </si>
  <si>
    <t>Resta indicador - aguja</t>
  </si>
  <si>
    <t>Resta 1  - suma de anteriores</t>
  </si>
  <si>
    <t>Cuenta de Discapacidad</t>
  </si>
  <si>
    <t>Grafico de bateria</t>
  </si>
  <si>
    <t xml:space="preserve"> </t>
  </si>
  <si>
    <t>Suma de PENSION</t>
  </si>
  <si>
    <t>Autor:</t>
  </si>
  <si>
    <t>Miguel Angel Lajo Bernahola</t>
  </si>
  <si>
    <t>MODO DE USO:</t>
  </si>
  <si>
    <t>Paso 01:</t>
  </si>
  <si>
    <r>
      <t xml:space="preserve">En la hoja "BD_ESTUDIANTES" selecciona el boton </t>
    </r>
    <r>
      <rPr>
        <b/>
        <sz val="11"/>
        <color rgb="FFFF0000"/>
        <rFont val="Aptos Narrow"/>
        <family val="2"/>
        <scheme val="minor"/>
      </rPr>
      <t>Formulario</t>
    </r>
    <r>
      <rPr>
        <sz val="11"/>
        <color theme="1"/>
        <rFont val="Aptos Narrow"/>
        <family val="2"/>
        <scheme val="minor"/>
      </rPr>
      <t xml:space="preserve"> para que este se abra</t>
    </r>
  </si>
  <si>
    <t>Paso  02:</t>
  </si>
  <si>
    <r>
      <t xml:space="preserve">El boton de </t>
    </r>
    <r>
      <rPr>
        <b/>
        <sz val="16"/>
        <color rgb="FFFF0000"/>
        <rFont val="Aptos Narrow"/>
        <family val="2"/>
        <scheme val="minor"/>
      </rPr>
      <t>ocultar</t>
    </r>
    <r>
      <rPr>
        <sz val="11"/>
        <color theme="1"/>
        <rFont val="Aptos Narrow"/>
        <family val="2"/>
        <scheme val="minor"/>
      </rPr>
      <t xml:space="preserve"> en la hoja de calculo "BD_ESTUDIANTES",sirve para ocultar el libro de excel y solo se vizualice el formulario, para volver al libro de excel precione </t>
    </r>
  </si>
  <si>
    <t>el boton con un simbolo que aparece en la esquina superior del formulario</t>
  </si>
  <si>
    <t>&lt;&gt;</t>
  </si>
  <si>
    <t>Paso 03:</t>
  </si>
  <si>
    <t>En la hoja de calculo "CONSULTAS" podremos realizar filtros de datos según los datos que introduzcamos en el cuadro de busqueda con las listas desplegables.</t>
  </si>
  <si>
    <t>Paso 04:</t>
  </si>
  <si>
    <r>
      <t xml:space="preserve">Al haber introducido en los campos de busqueda con las listas despegables, podremos realizar los filtros correspondientes con el boton </t>
    </r>
    <r>
      <rPr>
        <b/>
        <sz val="12"/>
        <color rgb="FFFF0000"/>
        <rFont val="Aptos Narrow"/>
        <family val="2"/>
        <scheme val="minor"/>
      </rPr>
      <t>FILTRAR</t>
    </r>
    <r>
      <rPr>
        <sz val="11"/>
        <color theme="1"/>
        <rFont val="Aptos Narrow"/>
        <family val="2"/>
        <scheme val="minor"/>
      </rPr>
      <t>, aparecera un rango de datos</t>
    </r>
  </si>
  <si>
    <r>
      <t xml:space="preserve">con los filtros introducidos. Para borrar el rango creado y realizar una nueva busqueda precionaremos el boton </t>
    </r>
    <r>
      <rPr>
        <b/>
        <sz val="12"/>
        <color rgb="FFFF0000"/>
        <rFont val="Aptos Narrow"/>
        <family val="2"/>
        <scheme val="minor"/>
      </rPr>
      <t>BORRAR TODO.</t>
    </r>
  </si>
  <si>
    <r>
      <t xml:space="preserve">El boton de </t>
    </r>
    <r>
      <rPr>
        <b/>
        <sz val="12"/>
        <color rgb="FFFF0000"/>
        <rFont val="Aptos Narrow"/>
        <family val="2"/>
        <scheme val="minor"/>
      </rPr>
      <t>PDF</t>
    </r>
    <r>
      <rPr>
        <sz val="11"/>
        <color theme="1"/>
        <rFont val="Aptos Narrow"/>
        <family val="2"/>
        <scheme val="minor"/>
      </rPr>
      <t>, creara una PDF del rango filtrado.</t>
    </r>
  </si>
  <si>
    <t>En la hoja de calculos "DASHBOARD", podremos vizualizar todos los KPIS empleados, para usarlo daremos click en los campos de segmentacion dependiendo a los datos</t>
  </si>
  <si>
    <t>que se quiera vizualizar.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</si>
</sst>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S/&quot;\ * #,##0.00_-;\-&quot;S/&quot;\ * #,##0.00_-;_-&quot;S/&quot;\ * &quot;-&quot;??_-;_-@_-"/>
    <numFmt numFmtId="164" formatCode="_-[$S/-280A]\ * #,##0.00_-;\-[$S/-280A]\ * #,##0.00_-;_-[$S/-280A]\ * &quot;-&quot;??_-;_-@_-"/>
    <numFmt numFmtId="165" formatCode="[$-F800]dddd\,\ mmmm\ dd\,\ yyyy"/>
    <numFmt numFmtId="166" formatCode="&quot;S/&quot;\ #,##0.00"/>
  </numFmts>
  <fonts count="22" x14ac:knownFonts="1">
    <font>
      <sz val="11"/>
      <color theme="1"/>
      <name val="Aptos Narrow"/>
      <family val="2"/>
      <scheme val="minor"/>
    </font>
    <font>
      <sz val="11"/>
      <color theme="1"/>
      <name val="Fira Code Medium"/>
      <family val="3"/>
    </font>
    <font>
      <sz val="16"/>
      <color theme="0"/>
      <name val="Fira Code Medium"/>
      <family val="3"/>
    </font>
    <font>
      <sz val="8"/>
      <name val="Aptos Narrow"/>
      <family val="2"/>
      <scheme val="minor"/>
    </font>
    <font>
      <u/>
      <sz val="11"/>
      <color theme="10"/>
      <name val="Aptos Narrow"/>
      <family val="2"/>
      <scheme val="minor"/>
    </font>
    <font>
      <sz val="11"/>
      <color theme="1"/>
      <name val="Fira Code"/>
      <family val="3"/>
    </font>
    <font>
      <u/>
      <sz val="11"/>
      <color theme="10"/>
      <name val="Fira Code"/>
      <family val="3"/>
    </font>
    <font>
      <b/>
      <sz val="14"/>
      <color theme="0"/>
      <name val="Aptos Narrow"/>
      <family val="2"/>
      <scheme val="minor"/>
    </font>
    <font>
      <sz val="11"/>
      <color theme="1"/>
      <name val="Aptos Narrow"/>
      <family val="2"/>
      <scheme val="minor"/>
    </font>
    <font>
      <b/>
      <sz val="18"/>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1"/>
      <name val="Aptos Narrow"/>
      <family val="2"/>
      <scheme val="minor"/>
    </font>
    <font>
      <sz val="12"/>
      <color theme="0"/>
      <name val="Aptos Narrow"/>
      <family val="2"/>
      <scheme val="minor"/>
    </font>
    <font>
      <b/>
      <sz val="14"/>
      <color theme="1"/>
      <name val="Aptos Narrow"/>
      <family val="2"/>
      <scheme val="minor"/>
    </font>
    <font>
      <b/>
      <sz val="16"/>
      <color theme="1"/>
      <name val="Aptos Narrow"/>
      <family val="2"/>
      <scheme val="minor"/>
    </font>
    <font>
      <sz val="16"/>
      <color theme="1"/>
      <name val="Aptos Narrow"/>
      <family val="2"/>
      <scheme val="minor"/>
    </font>
    <font>
      <b/>
      <sz val="11"/>
      <color rgb="FFFF0000"/>
      <name val="Aptos Narrow"/>
      <family val="2"/>
      <scheme val="minor"/>
    </font>
    <font>
      <b/>
      <sz val="12"/>
      <color rgb="FFFF0000"/>
      <name val="Aptos Narrow"/>
      <family val="2"/>
      <scheme val="minor"/>
    </font>
    <font>
      <b/>
      <sz val="16"/>
      <color rgb="FFFF0000"/>
      <name val="Aptos Narrow"/>
      <family val="2"/>
      <scheme val="minor"/>
    </font>
    <font>
      <b/>
      <sz val="28"/>
      <color theme="1"/>
      <name val="Aptos Narrow"/>
      <family val="2"/>
      <scheme val="minor"/>
    </font>
  </fonts>
  <fills count="9">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153068"/>
        <bgColor indexed="64"/>
      </patternFill>
    </fill>
    <fill>
      <patternFill patternType="solid">
        <fgColor rgb="FF47A8C2"/>
        <bgColor indexed="64"/>
      </patternFill>
    </fill>
    <fill>
      <patternFill patternType="solid">
        <fgColor rgb="FF1A4779"/>
        <bgColor indexed="64"/>
      </patternFill>
    </fill>
    <fill>
      <patternFill patternType="solid">
        <fgColor rgb="FF2384A6"/>
        <bgColor indexed="64"/>
      </patternFill>
    </fill>
    <fill>
      <patternFill patternType="solid">
        <fgColor rgb="FFFFC000"/>
        <bgColor indexed="64"/>
      </patternFill>
    </fill>
  </fills>
  <borders count="6">
    <border>
      <left/>
      <right/>
      <top/>
      <bottom/>
      <diagonal/>
    </border>
    <border>
      <left/>
      <right/>
      <top/>
      <bottom style="double">
        <color theme="0"/>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4">
    <xf numFmtId="0" fontId="0" fillId="0" borderId="0"/>
    <xf numFmtId="0" fontId="4" fillId="0" borderId="0" applyNumberForma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50">
    <xf numFmtId="0" fontId="0" fillId="0" borderId="0" xfId="0"/>
    <xf numFmtId="0" fontId="0" fillId="2" borderId="0" xfId="0" applyFill="1"/>
    <xf numFmtId="0" fontId="1" fillId="0" borderId="0" xfId="0" applyFont="1"/>
    <xf numFmtId="0" fontId="2" fillId="2" borderId="1" xfId="0" applyFont="1" applyFill="1" applyBorder="1" applyAlignment="1">
      <alignment vertical="center"/>
    </xf>
    <xf numFmtId="0" fontId="5" fillId="0" borderId="0" xfId="0" applyFont="1"/>
    <xf numFmtId="49" fontId="5" fillId="0" borderId="0" xfId="0" applyNumberFormat="1" applyFont="1"/>
    <xf numFmtId="49" fontId="0" fillId="0" borderId="0" xfId="0" applyNumberFormat="1"/>
    <xf numFmtId="49" fontId="6" fillId="0" borderId="0" xfId="1" applyNumberFormat="1" applyFont="1"/>
    <xf numFmtId="164" fontId="5" fillId="0" borderId="0" xfId="0" applyNumberFormat="1" applyFont="1"/>
    <xf numFmtId="164" fontId="0" fillId="0" borderId="0" xfId="0" applyNumberFormat="1"/>
    <xf numFmtId="0" fontId="2" fillId="2" borderId="0" xfId="0" applyFont="1" applyFill="1" applyAlignment="1">
      <alignment vertical="center"/>
    </xf>
    <xf numFmtId="14" fontId="5" fillId="0" borderId="0" xfId="0" applyNumberFormat="1" applyFont="1" applyAlignment="1">
      <alignment horizontal="right"/>
    </xf>
    <xf numFmtId="0" fontId="0" fillId="0" borderId="0" xfId="0" applyAlignment="1">
      <alignment horizontal="right"/>
    </xf>
    <xf numFmtId="0" fontId="0" fillId="0" borderId="0" xfId="0" pivotButton="1"/>
    <xf numFmtId="0" fontId="0" fillId="0" borderId="0" xfId="0" applyAlignment="1">
      <alignment horizontal="left"/>
    </xf>
    <xf numFmtId="10" fontId="0" fillId="0" borderId="0" xfId="0" applyNumberFormat="1"/>
    <xf numFmtId="0" fontId="11" fillId="0" borderId="0" xfId="0" applyFont="1" applyAlignment="1">
      <alignment horizontal="left"/>
    </xf>
    <xf numFmtId="0" fontId="0" fillId="3" borderId="0" xfId="0" applyFill="1" applyAlignment="1">
      <alignment horizontal="center"/>
    </xf>
    <xf numFmtId="9" fontId="0" fillId="0" borderId="3" xfId="3" applyFont="1" applyBorder="1"/>
    <xf numFmtId="0" fontId="10" fillId="4" borderId="3" xfId="0" applyFont="1" applyFill="1" applyBorder="1"/>
    <xf numFmtId="0" fontId="12" fillId="4" borderId="0" xfId="0" applyFont="1" applyFill="1"/>
    <xf numFmtId="0" fontId="11" fillId="0" borderId="0" xfId="0" applyFont="1"/>
    <xf numFmtId="0" fontId="12" fillId="4" borderId="3" xfId="0" applyFont="1" applyFill="1" applyBorder="1"/>
    <xf numFmtId="0" fontId="10" fillId="0" borderId="0" xfId="0" applyFont="1"/>
    <xf numFmtId="0" fontId="10" fillId="6" borderId="2" xfId="0" applyFont="1" applyFill="1" applyBorder="1"/>
    <xf numFmtId="0" fontId="10" fillId="6" borderId="3" xfId="0" applyFont="1" applyFill="1" applyBorder="1" applyAlignment="1">
      <alignment horizontal="center" vertical="center"/>
    </xf>
    <xf numFmtId="0" fontId="10" fillId="7" borderId="2" xfId="0" applyFont="1" applyFill="1" applyBorder="1" applyAlignment="1">
      <alignment vertical="center"/>
    </xf>
    <xf numFmtId="0" fontId="13" fillId="5" borderId="2" xfId="0" applyFont="1" applyFill="1" applyBorder="1" applyAlignment="1">
      <alignment horizontal="center" vertical="center"/>
    </xf>
    <xf numFmtId="9" fontId="0" fillId="0" borderId="0" xfId="3" applyFont="1"/>
    <xf numFmtId="0" fontId="14" fillId="4" borderId="0" xfId="0" applyFont="1" applyFill="1"/>
    <xf numFmtId="9" fontId="0" fillId="0" borderId="3" xfId="3" applyFont="1" applyBorder="1" applyAlignment="1">
      <alignment horizontal="center" vertical="center"/>
    </xf>
    <xf numFmtId="9" fontId="0" fillId="0" borderId="3" xfId="3" applyFont="1" applyFill="1" applyBorder="1" applyAlignment="1">
      <alignment horizontal="center" vertical="center"/>
    </xf>
    <xf numFmtId="9" fontId="0" fillId="0" borderId="4" xfId="3" applyFont="1" applyBorder="1" applyAlignment="1">
      <alignment horizontal="center" vertical="center"/>
    </xf>
    <xf numFmtId="166" fontId="0" fillId="8" borderId="3" xfId="3" applyNumberFormat="1" applyFont="1" applyFill="1" applyBorder="1"/>
    <xf numFmtId="165" fontId="7" fillId="2" borderId="0" xfId="0" applyNumberFormat="1" applyFont="1" applyFill="1" applyAlignment="1">
      <alignment horizontal="right"/>
    </xf>
    <xf numFmtId="0" fontId="2" fillId="2" borderId="1" xfId="0" applyFont="1" applyFill="1" applyBorder="1" applyAlignment="1">
      <alignment horizontal="center" vertical="center"/>
    </xf>
    <xf numFmtId="0" fontId="10" fillId="7" borderId="2" xfId="0" applyFont="1" applyFill="1" applyBorder="1" applyAlignment="1">
      <alignment horizontal="center" vertical="center"/>
    </xf>
    <xf numFmtId="0" fontId="13" fillId="5" borderId="2" xfId="0" applyFont="1" applyFill="1" applyBorder="1" applyAlignment="1">
      <alignment horizontal="center" vertical="center"/>
    </xf>
    <xf numFmtId="164" fontId="9" fillId="3" borderId="3" xfId="2" applyNumberFormat="1" applyFont="1" applyFill="1" applyBorder="1" applyAlignment="1">
      <alignment horizontal="center"/>
    </xf>
    <xf numFmtId="0" fontId="11" fillId="0" borderId="5" xfId="0" applyFont="1" applyBorder="1" applyAlignment="1">
      <alignment horizontal="center" wrapText="1"/>
    </xf>
    <xf numFmtId="0" fontId="11" fillId="0" borderId="0" xfId="0" applyFont="1" applyAlignment="1">
      <alignment horizontal="center" wrapText="1"/>
    </xf>
    <xf numFmtId="0" fontId="11" fillId="0" borderId="5" xfId="0" applyFont="1" applyBorder="1" applyAlignment="1">
      <alignment horizontal="center" vertical="center" wrapText="1"/>
    </xf>
    <xf numFmtId="0" fontId="11" fillId="0" borderId="0" xfId="0" applyFont="1" applyAlignment="1">
      <alignment horizontal="center" vertical="center" wrapText="1"/>
    </xf>
    <xf numFmtId="0" fontId="0" fillId="0" borderId="5" xfId="0" applyBorder="1" applyAlignment="1">
      <alignment horizontal="center"/>
    </xf>
    <xf numFmtId="0" fontId="0" fillId="0" borderId="0" xfId="0" applyAlignment="1">
      <alignment horizontal="center"/>
    </xf>
    <xf numFmtId="0" fontId="15" fillId="0" borderId="0" xfId="0" applyFont="1"/>
    <xf numFmtId="0" fontId="16" fillId="0" borderId="0" xfId="0" applyFont="1"/>
    <xf numFmtId="0" fontId="17" fillId="0" borderId="0" xfId="0" applyFont="1"/>
    <xf numFmtId="165" fontId="16" fillId="0" borderId="0" xfId="0" applyNumberFormat="1" applyFont="1" applyAlignment="1">
      <alignment horizontal="right"/>
    </xf>
    <xf numFmtId="0" fontId="21" fillId="0" borderId="0" xfId="0" applyFont="1"/>
  </cellXfs>
  <cellStyles count="4">
    <cellStyle name="Hipervínculo" xfId="1" builtinId="8"/>
    <cellStyle name="Moneda" xfId="2" builtinId="4"/>
    <cellStyle name="Normal" xfId="0" builtinId="0"/>
    <cellStyle name="Porcentaje" xfId="3" builtinId="5"/>
  </cellStyles>
  <dxfs count="26">
    <dxf>
      <font>
        <color theme="0"/>
      </font>
    </dxf>
    <dxf>
      <font>
        <color theme="0"/>
      </font>
    </dxf>
    <dxf>
      <fill>
        <patternFill patternType="solid">
          <bgColor rgb="FF153068"/>
        </patternFill>
      </fill>
    </dxf>
    <dxf>
      <fill>
        <patternFill patternType="solid">
          <bgColor rgb="FF153068"/>
        </patternFill>
      </fil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164" formatCode="_-[$S/-280A]\ * #,##0.00_-;\-[$S/-280A]\ * #,##0.00_-;_-[$S/-280A]\ * &quot;-&quot;??_-;_-@_-"/>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0" formatCode="Genera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dxf>
    <dxf>
      <font>
        <strike val="0"/>
        <outline val="0"/>
        <shadow val="0"/>
        <vertAlign val="baseline"/>
        <sz val="11"/>
        <name val="Fira Code"/>
        <family val="3"/>
        <scheme val="none"/>
      </font>
      <numFmt numFmtId="19" formatCode="d/mm/yyyy"/>
      <alignment horizontal="right" vertical="bottom" textRotation="0" wrapText="0" indent="0" justifyLastLine="0" shrinkToFit="0" readingOrder="0"/>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0" formatCode="Genera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dxf>
    <dxf>
      <font>
        <strike val="0"/>
        <outline val="0"/>
        <shadow val="0"/>
        <u val="none"/>
        <vertAlign val="baseline"/>
        <sz val="11"/>
        <color theme="1"/>
        <name val="Fira Code Medium"/>
        <family val="3"/>
        <scheme val="none"/>
      </font>
    </dxf>
    <dxf>
      <font>
        <b/>
        <i val="0"/>
        <sz val="9"/>
        <name val="Aptos Narrow"/>
        <family val="2"/>
        <scheme val="minor"/>
      </font>
    </dxf>
    <dxf>
      <fill>
        <patternFill patternType="solid">
          <fgColor auto="1"/>
          <bgColor rgb="FF1A4779"/>
        </patternFill>
      </fill>
      <border diagonalUp="1">
        <left style="medium">
          <color theme="1"/>
        </left>
        <right style="medium">
          <color theme="1"/>
        </right>
        <top style="medium">
          <color theme="1"/>
        </top>
        <bottom style="medium">
          <color theme="1"/>
        </bottom>
        <diagonal style="medium">
          <color theme="1"/>
        </diagonal>
      </border>
    </dxf>
  </dxfs>
  <tableStyles count="1" defaultTableStyle="TableStyleMedium2" defaultPivotStyle="PivotStyleLight16">
    <tableStyle name="LAJO_BLUE" pivot="0" table="0" count="6" xr9:uid="{C80C00E3-23FF-40D7-B94C-F52A203DA61B}">
      <tableStyleElement type="wholeTable" dxfId="25"/>
      <tableStyleElement type="headerRow" dxfId="24"/>
    </tableStyle>
  </tableStyles>
  <colors>
    <mruColors>
      <color rgb="FF1A4779"/>
      <color rgb="FF47A8C2"/>
      <color rgb="FF153068"/>
      <color rgb="FF2384A6"/>
      <color rgb="FF1D6592"/>
    </mruColors>
  </colors>
  <extLst>
    <ext xmlns:x14="http://schemas.microsoft.com/office/spreadsheetml/2009/9/main" uri="{46F421CA-312F-682f-3DD2-61675219B42D}">
      <x14:dxfs count="4">
        <dxf>
          <fill>
            <patternFill>
              <bgColor rgb="FF47A8C2"/>
            </patternFill>
          </fill>
        </dxf>
        <dxf>
          <fill>
            <patternFill>
              <bgColor theme="0" tint="-0.24994659260841701"/>
            </patternFill>
          </fill>
        </dxf>
        <dxf>
          <font>
            <b/>
            <i val="0"/>
            <sz val="10"/>
            <name val="Aptos Narrow"/>
            <family val="2"/>
            <scheme val="minor"/>
          </font>
          <fill>
            <patternFill patternType="solid">
              <bgColor theme="0"/>
            </patternFill>
          </fill>
        </dxf>
        <dxf>
          <fill>
            <patternFill>
              <bgColor rgb="FF1D6592"/>
            </patternFill>
          </fill>
        </dxf>
      </x14:dxfs>
    </ext>
    <ext xmlns:x14="http://schemas.microsoft.com/office/spreadsheetml/2009/9/main" uri="{EB79DEF2-80B8-43e5-95BD-54CBDDF9020C}">
      <x14:slicerStyles defaultSlicerStyle="SlicerStyleLight1">
        <x14:slicerStyle name="LAJO_BLUE">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image" Target="../media/image10.svg"/></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10.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2384A6"/>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1-C472-41FF-912F-DF2E5C85D557}"/>
              </c:ext>
            </c:extLst>
          </c:dPt>
          <c:val>
            <c:numRef>
              <c:f>CALCULOS!$F$3</c:f>
              <c:numCache>
                <c:formatCode>0%</c:formatCode>
                <c:ptCount val="1"/>
                <c:pt idx="0">
                  <c:v>0.41176470588235292</c:v>
                </c:pt>
              </c:numCache>
            </c:numRef>
          </c:val>
          <c:extLst>
            <c:ext xmlns:c16="http://schemas.microsoft.com/office/drawing/2014/chart" uri="{C3380CC4-5D6E-409C-BE32-E72D297353CC}">
              <c16:uniqueId val="{00000002-C472-41FF-912F-DF2E5C85D557}"/>
            </c:ext>
          </c:extLst>
        </c:ser>
        <c:ser>
          <c:idx val="1"/>
          <c:order val="1"/>
          <c:spPr>
            <a:noFill/>
            <a:ln>
              <a:noFill/>
            </a:ln>
            <a:effectLst/>
          </c:spPr>
          <c:invertIfNegative val="0"/>
          <c:val>
            <c:numRef>
              <c:f>CALCULOS!$G$3</c:f>
              <c:numCache>
                <c:formatCode>0%</c:formatCode>
                <c:ptCount val="1"/>
                <c:pt idx="0">
                  <c:v>0.58823529411764708</c:v>
                </c:pt>
              </c:numCache>
            </c:numRef>
          </c:val>
          <c:extLst>
            <c:ext xmlns:c16="http://schemas.microsoft.com/office/drawing/2014/chart" uri="{C3380CC4-5D6E-409C-BE32-E72D297353CC}">
              <c16:uniqueId val="{00000003-C472-41FF-912F-DF2E5C85D557}"/>
            </c:ext>
          </c:extLst>
        </c:ser>
        <c:dLbls>
          <c:showLegendKey val="0"/>
          <c:showVal val="0"/>
          <c:showCatName val="0"/>
          <c:showSerName val="0"/>
          <c:showPercent val="0"/>
          <c:showBubbleSize val="0"/>
        </c:dLbls>
        <c:gapWidth val="0"/>
        <c:overlap val="100"/>
        <c:axId val="38295455"/>
        <c:axId val="38293535"/>
      </c:barChart>
      <c:catAx>
        <c:axId val="38295455"/>
        <c:scaling>
          <c:orientation val="minMax"/>
        </c:scaling>
        <c:delete val="1"/>
        <c:axPos val="b"/>
        <c:majorTickMark val="none"/>
        <c:minorTickMark val="none"/>
        <c:tickLblPos val="nextTo"/>
        <c:crossAx val="38293535"/>
        <c:crosses val="autoZero"/>
        <c:auto val="1"/>
        <c:lblAlgn val="ctr"/>
        <c:lblOffset val="100"/>
        <c:noMultiLvlLbl val="0"/>
      </c:catAx>
      <c:valAx>
        <c:axId val="38293535"/>
        <c:scaling>
          <c:orientation val="minMax"/>
          <c:max val="1"/>
        </c:scaling>
        <c:delete val="1"/>
        <c:axPos val="l"/>
        <c:numFmt formatCode="0%" sourceLinked="1"/>
        <c:majorTickMark val="none"/>
        <c:minorTickMark val="none"/>
        <c:tickLblPos val="nextTo"/>
        <c:crossAx val="3829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47A8C2"/>
              </a:solidFill>
              <a:ln>
                <a:noFill/>
              </a:ln>
              <a:effectLst/>
            </c:spPr>
            <c:extLst>
              <c:ext xmlns:c16="http://schemas.microsoft.com/office/drawing/2014/chart" uri="{C3380CC4-5D6E-409C-BE32-E72D297353CC}">
                <c16:uniqueId val="{00000001-5C44-4094-9274-8B21DF67A896}"/>
              </c:ext>
            </c:extLst>
          </c:dPt>
          <c:val>
            <c:numRef>
              <c:f>CALCULOS!$F$2</c:f>
              <c:numCache>
                <c:formatCode>0%</c:formatCode>
                <c:ptCount val="1"/>
                <c:pt idx="0">
                  <c:v>0.58823529411764708</c:v>
                </c:pt>
              </c:numCache>
            </c:numRef>
          </c:val>
          <c:extLst>
            <c:ext xmlns:c16="http://schemas.microsoft.com/office/drawing/2014/chart" uri="{C3380CC4-5D6E-409C-BE32-E72D297353CC}">
              <c16:uniqueId val="{00000002-5C44-4094-9274-8B21DF67A896}"/>
            </c:ext>
          </c:extLst>
        </c:ser>
        <c:ser>
          <c:idx val="1"/>
          <c:order val="1"/>
          <c:spPr>
            <a:solidFill>
              <a:schemeClr val="bg1">
                <a:lumMod val="95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4-5C44-4094-9274-8B21DF67A896}"/>
              </c:ext>
            </c:extLst>
          </c:dPt>
          <c:val>
            <c:numRef>
              <c:f>CALCULOS!$G$2</c:f>
              <c:numCache>
                <c:formatCode>0%</c:formatCode>
                <c:ptCount val="1"/>
                <c:pt idx="0">
                  <c:v>0.41176470588235292</c:v>
                </c:pt>
              </c:numCache>
            </c:numRef>
          </c:val>
          <c:extLst>
            <c:ext xmlns:c16="http://schemas.microsoft.com/office/drawing/2014/chart" uri="{C3380CC4-5D6E-409C-BE32-E72D297353CC}">
              <c16:uniqueId val="{00000005-5C44-4094-9274-8B21DF67A896}"/>
            </c:ext>
          </c:extLst>
        </c:ser>
        <c:dLbls>
          <c:showLegendKey val="0"/>
          <c:showVal val="0"/>
          <c:showCatName val="0"/>
          <c:showSerName val="0"/>
          <c:showPercent val="0"/>
          <c:showBubbleSize val="0"/>
        </c:dLbls>
        <c:gapWidth val="0"/>
        <c:overlap val="100"/>
        <c:axId val="1812759087"/>
        <c:axId val="1812759567"/>
      </c:barChart>
      <c:catAx>
        <c:axId val="1812759087"/>
        <c:scaling>
          <c:orientation val="minMax"/>
        </c:scaling>
        <c:delete val="1"/>
        <c:axPos val="b"/>
        <c:majorTickMark val="none"/>
        <c:minorTickMark val="none"/>
        <c:tickLblPos val="nextTo"/>
        <c:crossAx val="1812759567"/>
        <c:crosses val="autoZero"/>
        <c:auto val="1"/>
        <c:lblAlgn val="ctr"/>
        <c:lblOffset val="100"/>
        <c:noMultiLvlLbl val="0"/>
      </c:catAx>
      <c:valAx>
        <c:axId val="1812759567"/>
        <c:scaling>
          <c:orientation val="minMax"/>
          <c:max val="1"/>
        </c:scaling>
        <c:delete val="1"/>
        <c:axPos val="l"/>
        <c:numFmt formatCode="0%" sourceLinked="1"/>
        <c:majorTickMark val="none"/>
        <c:minorTickMark val="none"/>
        <c:tickLblPos val="nextTo"/>
        <c:crossAx val="181275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8EDC-408D-B6B3-BE5F72FDAFD0}"/>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8EDC-408D-B6B3-BE5F72FDAFD0}"/>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5-8EDC-408D-B6B3-BE5F72FDAFD0}"/>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7-8EDC-408D-B6B3-BE5F72FDAFD0}"/>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9-8EDC-408D-B6B3-BE5F72FDAFD0}"/>
              </c:ext>
            </c:extLst>
          </c:dPt>
          <c:dPt>
            <c:idx val="5"/>
            <c:bubble3D val="0"/>
            <c:spPr>
              <a:solidFill>
                <a:srgbClr val="1D6592"/>
              </a:solidFill>
              <a:ln w="19050">
                <a:solidFill>
                  <a:schemeClr val="lt1"/>
                </a:solidFill>
              </a:ln>
              <a:effectLst/>
            </c:spPr>
            <c:extLst>
              <c:ext xmlns:c16="http://schemas.microsoft.com/office/drawing/2014/chart" uri="{C3380CC4-5D6E-409C-BE32-E72D297353CC}">
                <c16:uniqueId val="{0000000B-8EDC-408D-B6B3-BE5F72FDAFD0}"/>
              </c:ext>
            </c:extLst>
          </c:dPt>
          <c:dPt>
            <c:idx val="6"/>
            <c:bubble3D val="0"/>
            <c:spPr>
              <a:solidFill>
                <a:srgbClr val="1D6592"/>
              </a:solidFill>
              <a:ln w="19050">
                <a:solidFill>
                  <a:schemeClr val="lt1"/>
                </a:solidFill>
              </a:ln>
              <a:effectLst/>
            </c:spPr>
            <c:extLst>
              <c:ext xmlns:c16="http://schemas.microsoft.com/office/drawing/2014/chart" uri="{C3380CC4-5D6E-409C-BE32-E72D297353CC}">
                <c16:uniqueId val="{0000000D-8EDC-408D-B6B3-BE5F72FDAFD0}"/>
              </c:ext>
            </c:extLst>
          </c:dPt>
          <c:dPt>
            <c:idx val="7"/>
            <c:bubble3D val="0"/>
            <c:spPr>
              <a:solidFill>
                <a:srgbClr val="1D6592"/>
              </a:solidFill>
              <a:ln w="19050">
                <a:solidFill>
                  <a:schemeClr val="lt1"/>
                </a:solidFill>
              </a:ln>
              <a:effectLst/>
            </c:spPr>
            <c:extLst>
              <c:ext xmlns:c16="http://schemas.microsoft.com/office/drawing/2014/chart" uri="{C3380CC4-5D6E-409C-BE32-E72D297353CC}">
                <c16:uniqueId val="{0000000F-8EDC-408D-B6B3-BE5F72FDAFD0}"/>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11-8EDC-408D-B6B3-BE5F72FDAFD0}"/>
              </c:ext>
            </c:extLst>
          </c:dPt>
          <c:dPt>
            <c:idx val="9"/>
            <c:bubble3D val="0"/>
            <c:spPr>
              <a:noFill/>
              <a:ln w="19050">
                <a:noFill/>
              </a:ln>
              <a:effectLst/>
            </c:spPr>
            <c:extLst>
              <c:ext xmlns:c16="http://schemas.microsoft.com/office/drawing/2014/chart" uri="{C3380CC4-5D6E-409C-BE32-E72D297353CC}">
                <c16:uniqueId val="{00000013-8EDC-408D-B6B3-BE5F72FDAFD0}"/>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EDC-408D-B6B3-BE5F72FDAFD0}"/>
            </c:ext>
          </c:extLst>
        </c:ser>
        <c:dLbls>
          <c:showLegendKey val="0"/>
          <c:showVal val="0"/>
          <c:showCatName val="0"/>
          <c:showSerName val="0"/>
          <c:showPercent val="0"/>
          <c:showBubbleSize val="0"/>
          <c:showLeaderLines val="1"/>
        </c:dLbls>
        <c:firstSliceAng val="270"/>
        <c:holeSize val="65"/>
      </c:doughnutChart>
      <c:pieChart>
        <c:varyColors val="1"/>
        <c:ser>
          <c:idx val="1"/>
          <c:order val="1"/>
          <c:tx>
            <c:v>Aguja</c:v>
          </c:tx>
          <c:spPr>
            <a:noFill/>
          </c:spPr>
          <c:dPt>
            <c:idx val="0"/>
            <c:bubble3D val="0"/>
            <c:spPr>
              <a:noFill/>
              <a:ln w="19050">
                <a:solidFill>
                  <a:schemeClr val="lt1"/>
                </a:solidFill>
              </a:ln>
              <a:effectLst/>
            </c:spPr>
            <c:extLst>
              <c:ext xmlns:c16="http://schemas.microsoft.com/office/drawing/2014/chart" uri="{C3380CC4-5D6E-409C-BE32-E72D297353CC}">
                <c16:uniqueId val="{00000016-8EDC-408D-B6B3-BE5F72FDAFD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8-8EDC-408D-B6B3-BE5F72FDAFD0}"/>
              </c:ext>
            </c:extLst>
          </c:dPt>
          <c:dPt>
            <c:idx val="2"/>
            <c:bubble3D val="0"/>
            <c:spPr>
              <a:noFill/>
              <a:ln w="19050">
                <a:noFill/>
              </a:ln>
              <a:effectLst/>
            </c:spPr>
            <c:extLst>
              <c:ext xmlns:c16="http://schemas.microsoft.com/office/drawing/2014/chart" uri="{C3380CC4-5D6E-409C-BE32-E72D297353CC}">
                <c16:uniqueId val="{0000001A-8EDC-408D-B6B3-BE5F72FDAFD0}"/>
              </c:ext>
            </c:extLst>
          </c:dPt>
          <c:val>
            <c:numRef>
              <c:f>CALCULOS!$E$13:$E$15</c:f>
              <c:numCache>
                <c:formatCode>0%</c:formatCode>
                <c:ptCount val="3"/>
                <c:pt idx="0">
                  <c:v>0.44117647058823528</c:v>
                </c:pt>
                <c:pt idx="1">
                  <c:v>0.05</c:v>
                </c:pt>
                <c:pt idx="2">
                  <c:v>1.5588235294117645</c:v>
                </c:pt>
              </c:numCache>
            </c:numRef>
          </c:val>
          <c:extLst>
            <c:ext xmlns:c16="http://schemas.microsoft.com/office/drawing/2014/chart" uri="{C3380CC4-5D6E-409C-BE32-E72D297353CC}">
              <c16:uniqueId val="{0000001B-8EDC-408D-B6B3-BE5F72FDAFD0}"/>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1022-4134-9E61-015E9FE040E5}"/>
              </c:ext>
            </c:extLst>
          </c:dPt>
          <c:dPt>
            <c:idx val="1"/>
            <c:bubble3D val="0"/>
            <c:spPr>
              <a:solidFill>
                <a:srgbClr val="1D6592"/>
              </a:solidFill>
              <a:ln w="19050">
                <a:solidFill>
                  <a:schemeClr val="lt1"/>
                </a:solidFill>
              </a:ln>
              <a:effectLst/>
            </c:spPr>
            <c:extLst>
              <c:ext xmlns:c16="http://schemas.microsoft.com/office/drawing/2014/chart" uri="{C3380CC4-5D6E-409C-BE32-E72D297353CC}">
                <c16:uniqueId val="{00000003-1022-4134-9E61-015E9FE040E5}"/>
              </c:ext>
            </c:extLst>
          </c:dPt>
          <c:dPt>
            <c:idx val="2"/>
            <c:bubble3D val="0"/>
            <c:spPr>
              <a:solidFill>
                <a:srgbClr val="47A8C2"/>
              </a:solidFill>
              <a:ln w="19050">
                <a:solidFill>
                  <a:schemeClr val="lt1"/>
                </a:solidFill>
              </a:ln>
              <a:effectLst/>
            </c:spPr>
            <c:extLst>
              <c:ext xmlns:c16="http://schemas.microsoft.com/office/drawing/2014/chart" uri="{C3380CC4-5D6E-409C-BE32-E72D297353CC}">
                <c16:uniqueId val="{00000005-1022-4134-9E61-015E9FE040E5}"/>
              </c:ext>
            </c:extLst>
          </c:dPt>
          <c:dPt>
            <c:idx val="3"/>
            <c:bubble3D val="0"/>
            <c:explosion val="3"/>
            <c:spPr>
              <a:noFill/>
              <a:ln w="19050">
                <a:noFill/>
              </a:ln>
              <a:effectLst/>
            </c:spPr>
            <c:extLst>
              <c:ext xmlns:c16="http://schemas.microsoft.com/office/drawing/2014/chart" uri="{C3380CC4-5D6E-409C-BE32-E72D297353CC}">
                <c16:uniqueId val="{00000007-1022-4134-9E61-015E9FE040E5}"/>
              </c:ext>
            </c:extLst>
          </c:dPt>
          <c:val>
            <c:numLit>
              <c:formatCode>General</c:formatCode>
              <c:ptCount val="4"/>
              <c:pt idx="0">
                <c:v>1</c:v>
              </c:pt>
              <c:pt idx="1">
                <c:v>1</c:v>
              </c:pt>
              <c:pt idx="2">
                <c:v>1</c:v>
              </c:pt>
              <c:pt idx="3">
                <c:v>3</c:v>
              </c:pt>
            </c:numLit>
          </c:val>
          <c:extLst>
            <c:ext xmlns:c16="http://schemas.microsoft.com/office/drawing/2014/chart" uri="{C3380CC4-5D6E-409C-BE32-E72D297353CC}">
              <c16:uniqueId val="{00000008-1022-4134-9E61-015E9FE040E5}"/>
            </c:ext>
          </c:extLst>
        </c:ser>
        <c:dLbls>
          <c:showLegendKey val="0"/>
          <c:showVal val="0"/>
          <c:showCatName val="0"/>
          <c:showSerName val="0"/>
          <c:showPercent val="0"/>
          <c:showBubbleSize val="0"/>
          <c:showLeaderLines val="1"/>
        </c:dLbls>
        <c:firstSliceAng val="270"/>
        <c:holeSize val="0"/>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A-1022-4134-9E61-015E9FE040E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C-1022-4134-9E61-015E9FE040E5}"/>
              </c:ext>
            </c:extLst>
          </c:dPt>
          <c:dPt>
            <c:idx val="2"/>
            <c:bubble3D val="0"/>
            <c:spPr>
              <a:noFill/>
              <a:ln w="19050">
                <a:solidFill>
                  <a:schemeClr val="tx1"/>
                </a:solidFill>
              </a:ln>
              <a:effectLst/>
            </c:spPr>
            <c:extLst>
              <c:ext xmlns:c16="http://schemas.microsoft.com/office/drawing/2014/chart" uri="{C3380CC4-5D6E-409C-BE32-E72D297353CC}">
                <c16:uniqueId val="{0000000E-1022-4134-9E61-015E9FE040E5}"/>
              </c:ext>
            </c:extLst>
          </c:dPt>
          <c:val>
            <c:numRef>
              <c:f>CALCULOS!$E$24:$E$26</c:f>
              <c:numCache>
                <c:formatCode>0%</c:formatCode>
                <c:ptCount val="3"/>
                <c:pt idx="0">
                  <c:v>0.6470588235294118</c:v>
                </c:pt>
                <c:pt idx="1">
                  <c:v>0.05</c:v>
                </c:pt>
                <c:pt idx="2">
                  <c:v>1.3529411764705879</c:v>
                </c:pt>
              </c:numCache>
            </c:numRef>
          </c:val>
          <c:extLst>
            <c:ext xmlns:c16="http://schemas.microsoft.com/office/drawing/2014/chart" uri="{C3380CC4-5D6E-409C-BE32-E72D297353CC}">
              <c16:uniqueId val="{0000000F-1022-4134-9E61-015E9FE040E5}"/>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B569-42AF-A553-42076C6DD855}"/>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B569-42AF-A553-42076C6DD855}"/>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5-B569-42AF-A553-42076C6DD855}"/>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7-B569-42AF-A553-42076C6DD855}"/>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9-B569-42AF-A553-42076C6DD855}"/>
              </c:ext>
            </c:extLst>
          </c:dPt>
          <c:dPt>
            <c:idx val="5"/>
            <c:bubble3D val="0"/>
            <c:spPr>
              <a:solidFill>
                <a:srgbClr val="1A4779"/>
              </a:solidFill>
              <a:ln w="19050">
                <a:solidFill>
                  <a:schemeClr val="lt1"/>
                </a:solidFill>
              </a:ln>
              <a:effectLst/>
            </c:spPr>
            <c:extLst>
              <c:ext xmlns:c16="http://schemas.microsoft.com/office/drawing/2014/chart" uri="{C3380CC4-5D6E-409C-BE32-E72D297353CC}">
                <c16:uniqueId val="{0000000B-B569-42AF-A553-42076C6DD855}"/>
              </c:ext>
            </c:extLst>
          </c:dPt>
          <c:dPt>
            <c:idx val="6"/>
            <c:bubble3D val="0"/>
            <c:spPr>
              <a:solidFill>
                <a:srgbClr val="1A4779"/>
              </a:solidFill>
              <a:ln w="19050">
                <a:solidFill>
                  <a:schemeClr val="lt1"/>
                </a:solidFill>
              </a:ln>
              <a:effectLst/>
            </c:spPr>
            <c:extLst>
              <c:ext xmlns:c16="http://schemas.microsoft.com/office/drawing/2014/chart" uri="{C3380CC4-5D6E-409C-BE32-E72D297353CC}">
                <c16:uniqueId val="{0000000D-B569-42AF-A553-42076C6DD855}"/>
              </c:ext>
            </c:extLst>
          </c:dPt>
          <c:dPt>
            <c:idx val="7"/>
            <c:bubble3D val="0"/>
            <c:spPr>
              <a:solidFill>
                <a:srgbClr val="1A4779"/>
              </a:solidFill>
              <a:ln w="19050">
                <a:solidFill>
                  <a:schemeClr val="lt1"/>
                </a:solidFill>
              </a:ln>
              <a:effectLst/>
            </c:spPr>
            <c:extLst>
              <c:ext xmlns:c16="http://schemas.microsoft.com/office/drawing/2014/chart" uri="{C3380CC4-5D6E-409C-BE32-E72D297353CC}">
                <c16:uniqueId val="{0000000F-B569-42AF-A553-42076C6DD855}"/>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11-B569-42AF-A553-42076C6DD855}"/>
              </c:ext>
            </c:extLst>
          </c:dPt>
          <c:dPt>
            <c:idx val="9"/>
            <c:bubble3D val="0"/>
            <c:spPr>
              <a:solidFill>
                <a:srgbClr val="47A8C2"/>
              </a:solidFill>
              <a:ln w="19050">
                <a:solidFill>
                  <a:schemeClr val="lt1"/>
                </a:solidFill>
              </a:ln>
              <a:effectLst/>
            </c:spPr>
            <c:extLst>
              <c:ext xmlns:c16="http://schemas.microsoft.com/office/drawing/2014/chart" uri="{C3380CC4-5D6E-409C-BE32-E72D297353CC}">
                <c16:uniqueId val="{00000013-B569-42AF-A553-42076C6DD855}"/>
              </c:ext>
            </c:extLst>
          </c:dPt>
          <c:dPt>
            <c:idx val="10"/>
            <c:bubble3D val="0"/>
            <c:spPr>
              <a:noFill/>
              <a:ln w="19050">
                <a:noFill/>
              </a:ln>
              <a:effectLst/>
            </c:spPr>
            <c:extLst>
              <c:ext xmlns:c16="http://schemas.microsoft.com/office/drawing/2014/chart" uri="{C3380CC4-5D6E-409C-BE32-E72D297353CC}">
                <c16:uniqueId val="{00000015-B569-42AF-A553-42076C6DD855}"/>
              </c:ext>
            </c:extLst>
          </c:dPt>
          <c:dLbls>
            <c:dLbl>
              <c:idx val="0"/>
              <c:tx>
                <c:rich>
                  <a:bodyPr/>
                  <a:lstStyle/>
                  <a:p>
                    <a:fld id="{7AAA1281-0C74-45A4-9294-53F5B1008E82}" type="CELLRANGE">
                      <a:rPr lang="en-US"/>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569-42AF-A553-42076C6DD855}"/>
                </c:ext>
              </c:extLst>
            </c:dLbl>
            <c:dLbl>
              <c:idx val="1"/>
              <c:tx>
                <c:rich>
                  <a:bodyPr/>
                  <a:lstStyle/>
                  <a:p>
                    <a:fld id="{4E245C77-EB42-4F62-B455-5DF800D8B500}"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69-42AF-A553-42076C6DD855}"/>
                </c:ext>
              </c:extLst>
            </c:dLbl>
            <c:dLbl>
              <c:idx val="2"/>
              <c:tx>
                <c:rich>
                  <a:bodyPr/>
                  <a:lstStyle/>
                  <a:p>
                    <a:fld id="{7D41CCE3-5706-4AC4-BA66-27E3EA4B83D0}"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69-42AF-A553-42076C6DD855}"/>
                </c:ext>
              </c:extLst>
            </c:dLbl>
            <c:dLbl>
              <c:idx val="3"/>
              <c:tx>
                <c:rich>
                  <a:bodyPr/>
                  <a:lstStyle/>
                  <a:p>
                    <a:fld id="{490A4891-4B03-4244-884A-DB4E1E32DC27}"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569-42AF-A553-42076C6DD855}"/>
                </c:ext>
              </c:extLst>
            </c:dLbl>
            <c:dLbl>
              <c:idx val="4"/>
              <c:tx>
                <c:rich>
                  <a:bodyPr/>
                  <a:lstStyle/>
                  <a:p>
                    <a:fld id="{3B391BE4-8C56-48E5-8E6A-E99F0A32B293}"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569-42AF-A553-42076C6DD855}"/>
                </c:ext>
              </c:extLst>
            </c:dLbl>
            <c:dLbl>
              <c:idx val="5"/>
              <c:tx>
                <c:rich>
                  <a:bodyPr/>
                  <a:lstStyle/>
                  <a:p>
                    <a:fld id="{6BB75470-6DA2-451B-90A3-5CC8D1675EA9}"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569-42AF-A553-42076C6DD855}"/>
                </c:ext>
              </c:extLst>
            </c:dLbl>
            <c:dLbl>
              <c:idx val="6"/>
              <c:tx>
                <c:rich>
                  <a:bodyPr/>
                  <a:lstStyle/>
                  <a:p>
                    <a:fld id="{467E247F-2D65-4839-B64E-9177F519E5DD}"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569-42AF-A553-42076C6DD855}"/>
                </c:ext>
              </c:extLst>
            </c:dLbl>
            <c:dLbl>
              <c:idx val="7"/>
              <c:tx>
                <c:rich>
                  <a:bodyPr/>
                  <a:lstStyle/>
                  <a:p>
                    <a:fld id="{EEA5050C-3BB4-429C-A590-D81D67E33C5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569-42AF-A553-42076C6DD855}"/>
                </c:ext>
              </c:extLst>
            </c:dLbl>
            <c:dLbl>
              <c:idx val="8"/>
              <c:tx>
                <c:rich>
                  <a:bodyPr/>
                  <a:lstStyle/>
                  <a:p>
                    <a:fld id="{36687F88-2790-40A6-852A-02D4EA542EC7}"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569-42AF-A553-42076C6DD855}"/>
                </c:ext>
              </c:extLst>
            </c:dLbl>
            <c:dLbl>
              <c:idx val="9"/>
              <c:tx>
                <c:rich>
                  <a:bodyPr/>
                  <a:lstStyle/>
                  <a:p>
                    <a:fld id="{6E3B6099-634A-472F-9D2B-E1DFEAE296EF}"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569-42AF-A553-42076C6DD855}"/>
                </c:ext>
              </c:extLst>
            </c:dLbl>
            <c:dLbl>
              <c:idx val="10"/>
              <c:tx>
                <c:rich>
                  <a:bodyPr/>
                  <a:lstStyle/>
                  <a:p>
                    <a:fld id="{0E21C352-0A6B-4779-95C7-162C35EC118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B569-42AF-A553-42076C6DD85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Lit>
              <c:formatCode>General</c:formatCode>
              <c:ptCount val="11"/>
              <c:pt idx="0">
                <c:v>1</c:v>
              </c:pt>
              <c:pt idx="1">
                <c:v>1</c:v>
              </c:pt>
              <c:pt idx="2">
                <c:v>1</c:v>
              </c:pt>
              <c:pt idx="3">
                <c:v>1</c:v>
              </c:pt>
              <c:pt idx="4">
                <c:v>1</c:v>
              </c:pt>
              <c:pt idx="5">
                <c:v>1</c:v>
              </c:pt>
              <c:pt idx="6">
                <c:v>1</c:v>
              </c:pt>
              <c:pt idx="7">
                <c:v>1</c:v>
              </c:pt>
              <c:pt idx="8">
                <c:v>1</c:v>
              </c:pt>
              <c:pt idx="9">
                <c:v>1</c:v>
              </c:pt>
              <c:pt idx="10">
                <c:v>5</c:v>
              </c:pt>
            </c:numLit>
          </c:val>
          <c:extLst>
            <c:ext xmlns:c15="http://schemas.microsoft.com/office/drawing/2012/chart" uri="{02D57815-91ED-43cb-92C2-25804820EDAC}">
              <c15:datalabelsRange>
                <c15:f>CALCULOS!$I$34:$I$44</c15:f>
                <c15:dlblRangeCache>
                  <c:ptCount val="11"/>
                  <c:pt idx="0">
                    <c:v>10%</c:v>
                  </c:pt>
                  <c:pt idx="1">
                    <c:v>20%</c:v>
                  </c:pt>
                  <c:pt idx="2">
                    <c:v>30%</c:v>
                  </c:pt>
                  <c:pt idx="3">
                    <c:v>40%</c:v>
                  </c:pt>
                  <c:pt idx="4">
                    <c:v>50%</c:v>
                  </c:pt>
                  <c:pt idx="5">
                    <c:v>60%</c:v>
                  </c:pt>
                  <c:pt idx="6">
                    <c:v>70%</c:v>
                  </c:pt>
                  <c:pt idx="7">
                    <c:v>80%</c:v>
                  </c:pt>
                  <c:pt idx="8">
                    <c:v>90%</c:v>
                  </c:pt>
                  <c:pt idx="9">
                    <c:v>100%</c:v>
                  </c:pt>
                </c15:dlblRangeCache>
              </c15:datalabelsRange>
            </c:ext>
            <c:ext xmlns:c16="http://schemas.microsoft.com/office/drawing/2014/chart" uri="{C3380CC4-5D6E-409C-BE32-E72D297353CC}">
              <c16:uniqueId val="{00000016-B569-42AF-A553-42076C6DD855}"/>
            </c:ext>
          </c:extLst>
        </c:ser>
        <c:dLbls>
          <c:showLegendKey val="0"/>
          <c:showVal val="0"/>
          <c:showCatName val="0"/>
          <c:showSerName val="0"/>
          <c:showPercent val="0"/>
          <c:showBubbleSize val="0"/>
          <c:showLeaderLines val="1"/>
        </c:dLbls>
        <c:firstSliceAng val="240"/>
        <c:holeSize val="55"/>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18-B569-42AF-A553-42076C6DD85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A-B569-42AF-A553-42076C6DD855}"/>
              </c:ext>
            </c:extLst>
          </c:dPt>
          <c:dPt>
            <c:idx val="2"/>
            <c:bubble3D val="0"/>
            <c:spPr>
              <a:noFill/>
              <a:ln w="19050">
                <a:noFill/>
              </a:ln>
              <a:effectLst/>
            </c:spPr>
            <c:extLst>
              <c:ext xmlns:c16="http://schemas.microsoft.com/office/drawing/2014/chart" uri="{C3380CC4-5D6E-409C-BE32-E72D297353CC}">
                <c16:uniqueId val="{0000001C-B569-42AF-A553-42076C6DD855}"/>
              </c:ext>
            </c:extLst>
          </c:dPt>
          <c:val>
            <c:numRef>
              <c:f>CALCULOS!$E$36:$E$38</c:f>
              <c:numCache>
                <c:formatCode>0%</c:formatCode>
                <c:ptCount val="3"/>
                <c:pt idx="0">
                  <c:v>0.67647058823529416</c:v>
                </c:pt>
                <c:pt idx="1">
                  <c:v>0.05</c:v>
                </c:pt>
                <c:pt idx="2">
                  <c:v>0.85352941176470587</c:v>
                </c:pt>
              </c:numCache>
            </c:numRef>
          </c:val>
          <c:extLst>
            <c:ext xmlns:c16="http://schemas.microsoft.com/office/drawing/2014/chart" uri="{C3380CC4-5D6E-409C-BE32-E72D297353CC}">
              <c16:uniqueId val="{0000001D-B569-42AF-A553-42076C6DD855}"/>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1-A4AB-4385-A896-ECE4838C9010}"/>
              </c:ext>
            </c:extLst>
          </c:dPt>
          <c:val>
            <c:numRef>
              <c:f>CALCULOS!$E$55:$E$56</c:f>
              <c:numCache>
                <c:formatCode>0%</c:formatCode>
                <c:ptCount val="2"/>
                <c:pt idx="0">
                  <c:v>0.1</c:v>
                </c:pt>
                <c:pt idx="1">
                  <c:v>0.53823529411764703</c:v>
                </c:pt>
              </c:numCache>
            </c:numRef>
          </c:val>
          <c:extLst>
            <c:ext xmlns:c16="http://schemas.microsoft.com/office/drawing/2014/chart" uri="{C3380CC4-5D6E-409C-BE32-E72D297353CC}">
              <c16:uniqueId val="{00000002-A4AB-4385-A896-ECE4838C9010}"/>
            </c:ext>
          </c:extLst>
        </c:ser>
        <c:ser>
          <c:idx val="1"/>
          <c:order val="1"/>
          <c:spPr>
            <a:solidFill>
              <a:schemeClr val="accent2"/>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4-A4AB-4385-A896-ECE4838C9010}"/>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6-A4AB-4385-A896-ECE4838C9010}"/>
              </c:ext>
            </c:extLst>
          </c:dPt>
          <c:dLbls>
            <c:dLbl>
              <c:idx val="1"/>
              <c:layout>
                <c:manualLayout>
                  <c:x val="9.5833333333333326E-2"/>
                  <c:y val="2.172958527349652E-2"/>
                </c:manualLayout>
              </c:layout>
              <c:tx>
                <c:strRef>
                  <c:f>CALCULOS!$E$53</c:f>
                  <c:strCache>
                    <c:ptCount val="1"/>
                    <c:pt idx="0">
                      <c:v>59%</c:v>
                    </c:pt>
                  </c:strCache>
                </c:strRef>
              </c:tx>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extLst>
                <c:ext xmlns:c15="http://schemas.microsoft.com/office/drawing/2012/chart" uri="{CE6537A1-D6FC-4f65-9D91-7224C49458BB}">
                  <c15:layout>
                    <c:manualLayout>
                      <c:w val="0.11358333333333331"/>
                      <c:h val="0.18219567286131494"/>
                    </c:manualLayout>
                  </c15:layout>
                  <c15:dlblFieldTable>
                    <c15:dlblFTEntry>
                      <c15:txfldGUID>{4D2D6321-FF84-4877-8836-187E7814D820}</c15:txfldGUID>
                      <c15:f>CALCULOS!$E$53</c15:f>
                      <c15:dlblFieldTableCache>
                        <c:ptCount val="1"/>
                        <c:pt idx="0">
                          <c:v>59%</c:v>
                        </c:pt>
                      </c15:dlblFieldTableCache>
                    </c15:dlblFTEntry>
                  </c15:dlblFieldTable>
                  <c15:showDataLabelsRange val="0"/>
                </c:ext>
                <c:ext xmlns:c16="http://schemas.microsoft.com/office/drawing/2014/chart" uri="{C3380CC4-5D6E-409C-BE32-E72D297353CC}">
                  <c16:uniqueId val="{00000006-A4AB-4385-A896-ECE4838C9010}"/>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CALCULOS!$F$55:$F$56</c:f>
              <c:numCache>
                <c:formatCode>0%</c:formatCode>
                <c:ptCount val="2"/>
                <c:pt idx="0">
                  <c:v>0.1</c:v>
                </c:pt>
                <c:pt idx="1">
                  <c:v>0.05</c:v>
                </c:pt>
              </c:numCache>
            </c:numRef>
          </c:val>
          <c:extLst>
            <c:ext xmlns:c16="http://schemas.microsoft.com/office/drawing/2014/chart" uri="{C3380CC4-5D6E-409C-BE32-E72D297353CC}">
              <c16:uniqueId val="{00000007-A4AB-4385-A896-ECE4838C9010}"/>
            </c:ext>
          </c:extLst>
        </c:ser>
        <c:ser>
          <c:idx val="2"/>
          <c:order val="2"/>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9-A4AB-4385-A896-ECE4838C9010}"/>
              </c:ext>
            </c:extLst>
          </c:dPt>
          <c:val>
            <c:numRef>
              <c:f>CALCULOS!$G$55:$G$56</c:f>
              <c:numCache>
                <c:formatCode>0%</c:formatCode>
                <c:ptCount val="2"/>
                <c:pt idx="0">
                  <c:v>0.1</c:v>
                </c:pt>
                <c:pt idx="1">
                  <c:v>0.41176470588235292</c:v>
                </c:pt>
              </c:numCache>
            </c:numRef>
          </c:val>
          <c:extLst>
            <c:ext xmlns:c16="http://schemas.microsoft.com/office/drawing/2014/chart" uri="{C3380CC4-5D6E-409C-BE32-E72D297353CC}">
              <c16:uniqueId val="{0000000A-A4AB-4385-A896-ECE4838C9010}"/>
            </c:ext>
          </c:extLst>
        </c:ser>
        <c:ser>
          <c:idx val="3"/>
          <c:order val="3"/>
          <c:spPr>
            <a:solidFill>
              <a:schemeClr val="accent4"/>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C-A4AB-4385-A896-ECE4838C9010}"/>
              </c:ext>
            </c:extLst>
          </c:dPt>
          <c:val>
            <c:numRef>
              <c:f>CALCULOS!$H$55:$H$56</c:f>
              <c:numCache>
                <c:formatCode>0%</c:formatCode>
                <c:ptCount val="2"/>
                <c:pt idx="0">
                  <c:v>0.1</c:v>
                </c:pt>
              </c:numCache>
            </c:numRef>
          </c:val>
          <c:extLst>
            <c:ext xmlns:c16="http://schemas.microsoft.com/office/drawing/2014/chart" uri="{C3380CC4-5D6E-409C-BE32-E72D297353CC}">
              <c16:uniqueId val="{0000000D-A4AB-4385-A896-ECE4838C9010}"/>
            </c:ext>
          </c:extLst>
        </c:ser>
        <c:ser>
          <c:idx val="4"/>
          <c:order val="4"/>
          <c:spPr>
            <a:solidFill>
              <a:schemeClr val="accent5"/>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F-A4AB-4385-A896-ECE4838C9010}"/>
              </c:ext>
            </c:extLst>
          </c:dPt>
          <c:val>
            <c:numRef>
              <c:f>CALCULOS!$I$55:$I$56</c:f>
              <c:numCache>
                <c:formatCode>0%</c:formatCode>
                <c:ptCount val="2"/>
                <c:pt idx="0">
                  <c:v>0.1</c:v>
                </c:pt>
              </c:numCache>
            </c:numRef>
          </c:val>
          <c:extLst>
            <c:ext xmlns:c16="http://schemas.microsoft.com/office/drawing/2014/chart" uri="{C3380CC4-5D6E-409C-BE32-E72D297353CC}">
              <c16:uniqueId val="{00000010-A4AB-4385-A896-ECE4838C9010}"/>
            </c:ext>
          </c:extLst>
        </c:ser>
        <c:ser>
          <c:idx val="5"/>
          <c:order val="5"/>
          <c:spPr>
            <a:solidFill>
              <a:srgbClr val="1A4779"/>
            </a:solidFill>
            <a:ln>
              <a:noFill/>
            </a:ln>
            <a:effectLst/>
          </c:spPr>
          <c:invertIfNegative val="0"/>
          <c:val>
            <c:numRef>
              <c:f>CALCULOS!$J$55:$J$56</c:f>
              <c:numCache>
                <c:formatCode>0%</c:formatCode>
                <c:ptCount val="2"/>
                <c:pt idx="0">
                  <c:v>0.1</c:v>
                </c:pt>
              </c:numCache>
            </c:numRef>
          </c:val>
          <c:extLst>
            <c:ext xmlns:c16="http://schemas.microsoft.com/office/drawing/2014/chart" uri="{C3380CC4-5D6E-409C-BE32-E72D297353CC}">
              <c16:uniqueId val="{00000011-A4AB-4385-A896-ECE4838C9010}"/>
            </c:ext>
          </c:extLst>
        </c:ser>
        <c:ser>
          <c:idx val="6"/>
          <c:order val="6"/>
          <c:spPr>
            <a:solidFill>
              <a:srgbClr val="1A4779"/>
            </a:solidFill>
            <a:ln>
              <a:noFill/>
            </a:ln>
            <a:effectLst/>
          </c:spPr>
          <c:invertIfNegative val="0"/>
          <c:val>
            <c:numRef>
              <c:f>CALCULOS!$K$55:$K$56</c:f>
              <c:numCache>
                <c:formatCode>0%</c:formatCode>
                <c:ptCount val="2"/>
                <c:pt idx="0">
                  <c:v>0.1</c:v>
                </c:pt>
              </c:numCache>
            </c:numRef>
          </c:val>
          <c:extLst>
            <c:ext xmlns:c16="http://schemas.microsoft.com/office/drawing/2014/chart" uri="{C3380CC4-5D6E-409C-BE32-E72D297353CC}">
              <c16:uniqueId val="{00000012-A4AB-4385-A896-ECE4838C9010}"/>
            </c:ext>
          </c:extLst>
        </c:ser>
        <c:ser>
          <c:idx val="7"/>
          <c:order val="7"/>
          <c:spPr>
            <a:solidFill>
              <a:srgbClr val="1A4779"/>
            </a:solidFill>
            <a:ln>
              <a:noFill/>
            </a:ln>
            <a:effectLst/>
          </c:spPr>
          <c:invertIfNegative val="0"/>
          <c:val>
            <c:numRef>
              <c:f>CALCULOS!$L$55:$L$56</c:f>
              <c:numCache>
                <c:formatCode>0%</c:formatCode>
                <c:ptCount val="2"/>
                <c:pt idx="0">
                  <c:v>0.1</c:v>
                </c:pt>
              </c:numCache>
            </c:numRef>
          </c:val>
          <c:extLst>
            <c:ext xmlns:c16="http://schemas.microsoft.com/office/drawing/2014/chart" uri="{C3380CC4-5D6E-409C-BE32-E72D297353CC}">
              <c16:uniqueId val="{00000013-A4AB-4385-A896-ECE4838C9010}"/>
            </c:ext>
          </c:extLst>
        </c:ser>
        <c:ser>
          <c:idx val="8"/>
          <c:order val="8"/>
          <c:spPr>
            <a:solidFill>
              <a:srgbClr val="47A8C2"/>
            </a:solidFill>
            <a:ln>
              <a:noFill/>
            </a:ln>
            <a:effectLst/>
          </c:spPr>
          <c:invertIfNegative val="0"/>
          <c:val>
            <c:numRef>
              <c:f>CALCULOS!$M$55:$M$56</c:f>
              <c:numCache>
                <c:formatCode>0%</c:formatCode>
                <c:ptCount val="2"/>
                <c:pt idx="0">
                  <c:v>0.1</c:v>
                </c:pt>
              </c:numCache>
            </c:numRef>
          </c:val>
          <c:extLst>
            <c:ext xmlns:c16="http://schemas.microsoft.com/office/drawing/2014/chart" uri="{C3380CC4-5D6E-409C-BE32-E72D297353CC}">
              <c16:uniqueId val="{00000014-A4AB-4385-A896-ECE4838C9010}"/>
            </c:ext>
          </c:extLst>
        </c:ser>
        <c:ser>
          <c:idx val="9"/>
          <c:order val="9"/>
          <c:spPr>
            <a:solidFill>
              <a:srgbClr val="47A8C2"/>
            </a:solidFill>
            <a:ln>
              <a:noFill/>
            </a:ln>
            <a:effectLst/>
          </c:spPr>
          <c:invertIfNegative val="0"/>
          <c:val>
            <c:numRef>
              <c:f>CALCULOS!$N$55:$N$56</c:f>
              <c:numCache>
                <c:formatCode>0%</c:formatCode>
                <c:ptCount val="2"/>
                <c:pt idx="0">
                  <c:v>0.1</c:v>
                </c:pt>
              </c:numCache>
            </c:numRef>
          </c:val>
          <c:extLst>
            <c:ext xmlns:c16="http://schemas.microsoft.com/office/drawing/2014/chart" uri="{C3380CC4-5D6E-409C-BE32-E72D297353CC}">
              <c16:uniqueId val="{00000015-A4AB-4385-A896-ECE4838C9010}"/>
            </c:ext>
          </c:extLst>
        </c:ser>
        <c:dLbls>
          <c:showLegendKey val="0"/>
          <c:showVal val="0"/>
          <c:showCatName val="0"/>
          <c:showSerName val="0"/>
          <c:showPercent val="0"/>
          <c:showBubbleSize val="0"/>
        </c:dLbls>
        <c:gapWidth val="0"/>
        <c:overlap val="100"/>
        <c:axId val="814426031"/>
        <c:axId val="814420751"/>
      </c:barChart>
      <c:catAx>
        <c:axId val="814426031"/>
        <c:scaling>
          <c:orientation val="minMax"/>
        </c:scaling>
        <c:delete val="1"/>
        <c:axPos val="l"/>
        <c:majorTickMark val="none"/>
        <c:minorTickMark val="none"/>
        <c:tickLblPos val="nextTo"/>
        <c:crossAx val="814420751"/>
        <c:crosses val="autoZero"/>
        <c:auto val="1"/>
        <c:lblAlgn val="ctr"/>
        <c:lblOffset val="100"/>
        <c:noMultiLvlLbl val="0"/>
      </c:catAx>
      <c:valAx>
        <c:axId val="814420751"/>
        <c:scaling>
          <c:orientation val="minMax"/>
          <c:max val="1.05"/>
          <c:min val="0"/>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s-PE"/>
          </a:p>
        </c:txPr>
        <c:crossAx val="814426031"/>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FB19-40D6-831B-510C634790E9}"/>
              </c:ext>
            </c:extLst>
          </c:dPt>
          <c:val>
            <c:numRef>
              <c:f>CALCULOS!$D$67</c:f>
              <c:numCache>
                <c:formatCode>0%</c:formatCode>
                <c:ptCount val="1"/>
                <c:pt idx="0">
                  <c:v>0.20588235294117646</c:v>
                </c:pt>
              </c:numCache>
            </c:numRef>
          </c:val>
          <c:extLst>
            <c:ext xmlns:c16="http://schemas.microsoft.com/office/drawing/2014/chart" uri="{C3380CC4-5D6E-409C-BE32-E72D297353CC}">
              <c16:uniqueId val="{00000002-FB19-40D6-831B-510C634790E9}"/>
            </c:ext>
          </c:extLst>
        </c:ser>
        <c:ser>
          <c:idx val="1"/>
          <c:order val="1"/>
          <c:spPr>
            <a:solidFill>
              <a:schemeClr val="accent2"/>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4-FB19-40D6-831B-510C634790E9}"/>
              </c:ext>
            </c:extLst>
          </c:dPt>
          <c:val>
            <c:numRef>
              <c:f>CALCULOS!$E$67</c:f>
              <c:numCache>
                <c:formatCode>0%</c:formatCode>
                <c:ptCount val="1"/>
                <c:pt idx="0">
                  <c:v>0.79411764705882359</c:v>
                </c:pt>
              </c:numCache>
            </c:numRef>
          </c:val>
          <c:extLst>
            <c:ext xmlns:c16="http://schemas.microsoft.com/office/drawing/2014/chart" uri="{C3380CC4-5D6E-409C-BE32-E72D297353CC}">
              <c16:uniqueId val="{00000005-FB19-40D6-831B-510C634790E9}"/>
            </c:ext>
          </c:extLst>
        </c:ser>
        <c:dLbls>
          <c:showLegendKey val="0"/>
          <c:showVal val="0"/>
          <c:showCatName val="0"/>
          <c:showSerName val="0"/>
          <c:showPercent val="0"/>
          <c:showBubbleSize val="0"/>
        </c:dLbls>
        <c:gapWidth val="0"/>
        <c:overlap val="100"/>
        <c:axId val="813692975"/>
        <c:axId val="813698735"/>
      </c:barChart>
      <c:catAx>
        <c:axId val="813692975"/>
        <c:scaling>
          <c:orientation val="minMax"/>
        </c:scaling>
        <c:delete val="1"/>
        <c:axPos val="b"/>
        <c:majorTickMark val="none"/>
        <c:minorTickMark val="none"/>
        <c:tickLblPos val="nextTo"/>
        <c:crossAx val="813698735"/>
        <c:crosses val="autoZero"/>
        <c:auto val="1"/>
        <c:lblAlgn val="ctr"/>
        <c:lblOffset val="100"/>
        <c:noMultiLvlLbl val="0"/>
      </c:catAx>
      <c:valAx>
        <c:axId val="813698735"/>
        <c:scaling>
          <c:orientation val="minMax"/>
          <c:max val="1"/>
        </c:scaling>
        <c:delete val="1"/>
        <c:axPos val="l"/>
        <c:numFmt formatCode="0%" sourceLinked="1"/>
        <c:majorTickMark val="none"/>
        <c:minorTickMark val="none"/>
        <c:tickLblPos val="nextTo"/>
        <c:crossAx val="81369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2384A6"/>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2-D88B-401F-A27C-1DC03FCA9439}"/>
              </c:ext>
            </c:extLst>
          </c:dPt>
          <c:val>
            <c:numRef>
              <c:f>CALCULOS!$F$3</c:f>
              <c:numCache>
                <c:formatCode>0%</c:formatCode>
                <c:ptCount val="1"/>
                <c:pt idx="0">
                  <c:v>0.41176470588235292</c:v>
                </c:pt>
              </c:numCache>
            </c:numRef>
          </c:val>
          <c:extLst>
            <c:ext xmlns:c16="http://schemas.microsoft.com/office/drawing/2014/chart" uri="{C3380CC4-5D6E-409C-BE32-E72D297353CC}">
              <c16:uniqueId val="{00000000-D88B-401F-A27C-1DC03FCA9439}"/>
            </c:ext>
          </c:extLst>
        </c:ser>
        <c:ser>
          <c:idx val="1"/>
          <c:order val="1"/>
          <c:spPr>
            <a:noFill/>
            <a:ln>
              <a:noFill/>
            </a:ln>
            <a:effectLst/>
          </c:spPr>
          <c:invertIfNegative val="0"/>
          <c:val>
            <c:numRef>
              <c:f>CALCULOS!$G$3</c:f>
              <c:numCache>
                <c:formatCode>0%</c:formatCode>
                <c:ptCount val="1"/>
                <c:pt idx="0">
                  <c:v>0.58823529411764708</c:v>
                </c:pt>
              </c:numCache>
            </c:numRef>
          </c:val>
          <c:extLst>
            <c:ext xmlns:c16="http://schemas.microsoft.com/office/drawing/2014/chart" uri="{C3380CC4-5D6E-409C-BE32-E72D297353CC}">
              <c16:uniqueId val="{00000001-D88B-401F-A27C-1DC03FCA9439}"/>
            </c:ext>
          </c:extLst>
        </c:ser>
        <c:dLbls>
          <c:showLegendKey val="0"/>
          <c:showVal val="0"/>
          <c:showCatName val="0"/>
          <c:showSerName val="0"/>
          <c:showPercent val="0"/>
          <c:showBubbleSize val="0"/>
        </c:dLbls>
        <c:gapWidth val="0"/>
        <c:overlap val="100"/>
        <c:axId val="38295455"/>
        <c:axId val="38293535"/>
      </c:barChart>
      <c:catAx>
        <c:axId val="38295455"/>
        <c:scaling>
          <c:orientation val="minMax"/>
        </c:scaling>
        <c:delete val="1"/>
        <c:axPos val="b"/>
        <c:majorTickMark val="none"/>
        <c:minorTickMark val="none"/>
        <c:tickLblPos val="nextTo"/>
        <c:crossAx val="38293535"/>
        <c:crosses val="autoZero"/>
        <c:auto val="1"/>
        <c:lblAlgn val="ctr"/>
        <c:lblOffset val="100"/>
        <c:noMultiLvlLbl val="0"/>
      </c:catAx>
      <c:valAx>
        <c:axId val="38293535"/>
        <c:scaling>
          <c:orientation val="minMax"/>
          <c:max val="1"/>
        </c:scaling>
        <c:delete val="1"/>
        <c:axPos val="l"/>
        <c:numFmt formatCode="0%" sourceLinked="1"/>
        <c:majorTickMark val="none"/>
        <c:minorTickMark val="none"/>
        <c:tickLblPos val="nextTo"/>
        <c:crossAx val="3829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47A8C2"/>
              </a:solidFill>
              <a:ln>
                <a:noFill/>
              </a:ln>
              <a:effectLst/>
            </c:spPr>
            <c:extLst>
              <c:ext xmlns:c16="http://schemas.microsoft.com/office/drawing/2014/chart" uri="{C3380CC4-5D6E-409C-BE32-E72D297353CC}">
                <c16:uniqueId val="{00000003-C0A2-4A4F-9DD4-BDDBA6FE86CD}"/>
              </c:ext>
            </c:extLst>
          </c:dPt>
          <c:val>
            <c:numRef>
              <c:f>CALCULOS!$F$2</c:f>
              <c:numCache>
                <c:formatCode>0%</c:formatCode>
                <c:ptCount val="1"/>
                <c:pt idx="0">
                  <c:v>0.58823529411764708</c:v>
                </c:pt>
              </c:numCache>
            </c:numRef>
          </c:val>
          <c:extLst>
            <c:ext xmlns:c16="http://schemas.microsoft.com/office/drawing/2014/chart" uri="{C3380CC4-5D6E-409C-BE32-E72D297353CC}">
              <c16:uniqueId val="{00000000-C0A2-4A4F-9DD4-BDDBA6FE86CD}"/>
            </c:ext>
          </c:extLst>
        </c:ser>
        <c:ser>
          <c:idx val="1"/>
          <c:order val="1"/>
          <c:spPr>
            <a:solidFill>
              <a:schemeClr val="bg1">
                <a:lumMod val="95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2-C0A2-4A4F-9DD4-BDDBA6FE86CD}"/>
              </c:ext>
            </c:extLst>
          </c:dPt>
          <c:val>
            <c:numRef>
              <c:f>CALCULOS!$G$2</c:f>
              <c:numCache>
                <c:formatCode>0%</c:formatCode>
                <c:ptCount val="1"/>
                <c:pt idx="0">
                  <c:v>0.41176470588235292</c:v>
                </c:pt>
              </c:numCache>
            </c:numRef>
          </c:val>
          <c:extLst>
            <c:ext xmlns:c16="http://schemas.microsoft.com/office/drawing/2014/chart" uri="{C3380CC4-5D6E-409C-BE32-E72D297353CC}">
              <c16:uniqueId val="{00000001-C0A2-4A4F-9DD4-BDDBA6FE86CD}"/>
            </c:ext>
          </c:extLst>
        </c:ser>
        <c:dLbls>
          <c:showLegendKey val="0"/>
          <c:showVal val="0"/>
          <c:showCatName val="0"/>
          <c:showSerName val="0"/>
          <c:showPercent val="0"/>
          <c:showBubbleSize val="0"/>
        </c:dLbls>
        <c:gapWidth val="0"/>
        <c:overlap val="100"/>
        <c:axId val="1812759087"/>
        <c:axId val="1812759567"/>
      </c:barChart>
      <c:catAx>
        <c:axId val="1812759087"/>
        <c:scaling>
          <c:orientation val="minMax"/>
        </c:scaling>
        <c:delete val="1"/>
        <c:axPos val="b"/>
        <c:majorTickMark val="none"/>
        <c:minorTickMark val="none"/>
        <c:tickLblPos val="nextTo"/>
        <c:crossAx val="1812759567"/>
        <c:crosses val="autoZero"/>
        <c:auto val="1"/>
        <c:lblAlgn val="ctr"/>
        <c:lblOffset val="100"/>
        <c:noMultiLvlLbl val="0"/>
      </c:catAx>
      <c:valAx>
        <c:axId val="1812759567"/>
        <c:scaling>
          <c:orientation val="minMax"/>
          <c:max val="1"/>
        </c:scaling>
        <c:delete val="1"/>
        <c:axPos val="l"/>
        <c:numFmt formatCode="0%" sourceLinked="1"/>
        <c:majorTickMark val="none"/>
        <c:minorTickMark val="none"/>
        <c:tickLblPos val="nextTo"/>
        <c:crossAx val="181275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6-6004-43F2-9184-12A0012327A3}"/>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5-6004-43F2-9184-12A0012327A3}"/>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4-6004-43F2-9184-12A0012327A3}"/>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3-6004-43F2-9184-12A0012327A3}"/>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2-6004-43F2-9184-12A0012327A3}"/>
              </c:ext>
            </c:extLst>
          </c:dPt>
          <c:dPt>
            <c:idx val="5"/>
            <c:bubble3D val="0"/>
            <c:spPr>
              <a:solidFill>
                <a:srgbClr val="1D6592"/>
              </a:solidFill>
              <a:ln w="19050">
                <a:solidFill>
                  <a:schemeClr val="lt1"/>
                </a:solidFill>
              </a:ln>
              <a:effectLst/>
            </c:spPr>
            <c:extLst>
              <c:ext xmlns:c16="http://schemas.microsoft.com/office/drawing/2014/chart" uri="{C3380CC4-5D6E-409C-BE32-E72D297353CC}">
                <c16:uniqueId val="{00000007-6004-43F2-9184-12A0012327A3}"/>
              </c:ext>
            </c:extLst>
          </c:dPt>
          <c:dPt>
            <c:idx val="6"/>
            <c:bubble3D val="0"/>
            <c:spPr>
              <a:solidFill>
                <a:srgbClr val="1D6592"/>
              </a:solidFill>
              <a:ln w="19050">
                <a:solidFill>
                  <a:schemeClr val="lt1"/>
                </a:solidFill>
              </a:ln>
              <a:effectLst/>
            </c:spPr>
            <c:extLst>
              <c:ext xmlns:c16="http://schemas.microsoft.com/office/drawing/2014/chart" uri="{C3380CC4-5D6E-409C-BE32-E72D297353CC}">
                <c16:uniqueId val="{00000008-6004-43F2-9184-12A0012327A3}"/>
              </c:ext>
            </c:extLst>
          </c:dPt>
          <c:dPt>
            <c:idx val="7"/>
            <c:bubble3D val="0"/>
            <c:spPr>
              <a:solidFill>
                <a:srgbClr val="1D6592"/>
              </a:solidFill>
              <a:ln w="19050">
                <a:solidFill>
                  <a:schemeClr val="lt1"/>
                </a:solidFill>
              </a:ln>
              <a:effectLst/>
            </c:spPr>
            <c:extLst>
              <c:ext xmlns:c16="http://schemas.microsoft.com/office/drawing/2014/chart" uri="{C3380CC4-5D6E-409C-BE32-E72D297353CC}">
                <c16:uniqueId val="{00000009-6004-43F2-9184-12A0012327A3}"/>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0A-6004-43F2-9184-12A0012327A3}"/>
              </c:ext>
            </c:extLst>
          </c:dPt>
          <c:dPt>
            <c:idx val="9"/>
            <c:bubble3D val="0"/>
            <c:spPr>
              <a:noFill/>
              <a:ln w="19050">
                <a:noFill/>
              </a:ln>
              <a:effectLst/>
            </c:spPr>
            <c:extLst>
              <c:ext xmlns:c16="http://schemas.microsoft.com/office/drawing/2014/chart" uri="{C3380CC4-5D6E-409C-BE32-E72D297353CC}">
                <c16:uniqueId val="{00000001-6004-43F2-9184-12A0012327A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00-6004-43F2-9184-12A0012327A3}"/>
            </c:ext>
          </c:extLst>
        </c:ser>
        <c:dLbls>
          <c:showLegendKey val="0"/>
          <c:showVal val="0"/>
          <c:showCatName val="0"/>
          <c:showSerName val="0"/>
          <c:showPercent val="0"/>
          <c:showBubbleSize val="0"/>
          <c:showLeaderLines val="1"/>
        </c:dLbls>
        <c:firstSliceAng val="270"/>
        <c:holeSize val="65"/>
      </c:doughnutChart>
      <c:pieChart>
        <c:varyColors val="1"/>
        <c:ser>
          <c:idx val="1"/>
          <c:order val="1"/>
          <c:tx>
            <c:v>Aguja</c:v>
          </c:tx>
          <c:spPr>
            <a:noFill/>
          </c:spPr>
          <c:dPt>
            <c:idx val="0"/>
            <c:bubble3D val="0"/>
            <c:spPr>
              <a:noFill/>
              <a:ln w="19050">
                <a:solidFill>
                  <a:schemeClr val="lt1"/>
                </a:solidFill>
              </a:ln>
              <a:effectLst/>
            </c:spPr>
            <c:extLst>
              <c:ext xmlns:c16="http://schemas.microsoft.com/office/drawing/2014/chart" uri="{C3380CC4-5D6E-409C-BE32-E72D297353CC}">
                <c16:uniqueId val="{0000000F-6004-43F2-9184-12A0012327A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0-6004-43F2-9184-12A0012327A3}"/>
              </c:ext>
            </c:extLst>
          </c:dPt>
          <c:dPt>
            <c:idx val="2"/>
            <c:bubble3D val="0"/>
            <c:spPr>
              <a:noFill/>
              <a:ln w="19050">
                <a:noFill/>
              </a:ln>
              <a:effectLst/>
            </c:spPr>
            <c:extLst>
              <c:ext xmlns:c16="http://schemas.microsoft.com/office/drawing/2014/chart" uri="{C3380CC4-5D6E-409C-BE32-E72D297353CC}">
                <c16:uniqueId val="{0000000E-6004-43F2-9184-12A0012327A3}"/>
              </c:ext>
            </c:extLst>
          </c:dPt>
          <c:val>
            <c:numRef>
              <c:f>CALCULOS!$E$13:$E$15</c:f>
              <c:numCache>
                <c:formatCode>0%</c:formatCode>
                <c:ptCount val="3"/>
                <c:pt idx="0">
                  <c:v>0.44117647058823528</c:v>
                </c:pt>
                <c:pt idx="1">
                  <c:v>0.05</c:v>
                </c:pt>
                <c:pt idx="2">
                  <c:v>1.5588235294117645</c:v>
                </c:pt>
              </c:numCache>
            </c:numRef>
          </c:val>
          <c:extLst>
            <c:ext xmlns:c16="http://schemas.microsoft.com/office/drawing/2014/chart" uri="{C3380CC4-5D6E-409C-BE32-E72D297353CC}">
              <c16:uniqueId val="{0000000D-6004-43F2-9184-12A0012327A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2-BD92-415A-81AD-97AF6E1022CE}"/>
              </c:ext>
            </c:extLst>
          </c:dPt>
          <c:dPt>
            <c:idx val="1"/>
            <c:bubble3D val="0"/>
            <c:spPr>
              <a:solidFill>
                <a:srgbClr val="1D6592"/>
              </a:solidFill>
              <a:ln w="19050">
                <a:solidFill>
                  <a:schemeClr val="lt1"/>
                </a:solidFill>
              </a:ln>
              <a:effectLst/>
            </c:spPr>
            <c:extLst>
              <c:ext xmlns:c16="http://schemas.microsoft.com/office/drawing/2014/chart" uri="{C3380CC4-5D6E-409C-BE32-E72D297353CC}">
                <c16:uniqueId val="{00000003-BD92-415A-81AD-97AF6E1022CE}"/>
              </c:ext>
            </c:extLst>
          </c:dPt>
          <c:dPt>
            <c:idx val="2"/>
            <c:bubble3D val="0"/>
            <c:spPr>
              <a:solidFill>
                <a:srgbClr val="47A8C2"/>
              </a:solidFill>
              <a:ln w="19050">
                <a:solidFill>
                  <a:schemeClr val="lt1"/>
                </a:solidFill>
              </a:ln>
              <a:effectLst/>
            </c:spPr>
            <c:extLst>
              <c:ext xmlns:c16="http://schemas.microsoft.com/office/drawing/2014/chart" uri="{C3380CC4-5D6E-409C-BE32-E72D297353CC}">
                <c16:uniqueId val="{00000004-BD92-415A-81AD-97AF6E1022CE}"/>
              </c:ext>
            </c:extLst>
          </c:dPt>
          <c:dPt>
            <c:idx val="3"/>
            <c:bubble3D val="0"/>
            <c:explosion val="3"/>
            <c:spPr>
              <a:noFill/>
              <a:ln w="19050">
                <a:noFill/>
              </a:ln>
              <a:effectLst/>
            </c:spPr>
            <c:extLst>
              <c:ext xmlns:c16="http://schemas.microsoft.com/office/drawing/2014/chart" uri="{C3380CC4-5D6E-409C-BE32-E72D297353CC}">
                <c16:uniqueId val="{00000001-BD92-415A-81AD-97AF6E1022CE}"/>
              </c:ext>
            </c:extLst>
          </c:dPt>
          <c:val>
            <c:numLit>
              <c:formatCode>General</c:formatCode>
              <c:ptCount val="4"/>
              <c:pt idx="0">
                <c:v>1</c:v>
              </c:pt>
              <c:pt idx="1">
                <c:v>1</c:v>
              </c:pt>
              <c:pt idx="2">
                <c:v>1</c:v>
              </c:pt>
              <c:pt idx="3">
                <c:v>3</c:v>
              </c:pt>
            </c:numLit>
          </c:val>
          <c:extLst>
            <c:ext xmlns:c16="http://schemas.microsoft.com/office/drawing/2014/chart" uri="{C3380CC4-5D6E-409C-BE32-E72D297353CC}">
              <c16:uniqueId val="{00000000-BD92-415A-81AD-97AF6E1022CE}"/>
            </c:ext>
          </c:extLst>
        </c:ser>
        <c:dLbls>
          <c:showLegendKey val="0"/>
          <c:showVal val="0"/>
          <c:showCatName val="0"/>
          <c:showSerName val="0"/>
          <c:showPercent val="0"/>
          <c:showBubbleSize val="0"/>
          <c:showLeaderLines val="1"/>
        </c:dLbls>
        <c:firstSliceAng val="270"/>
        <c:holeSize val="0"/>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7-BD92-415A-81AD-97AF6E1022CE}"/>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8-BD92-415A-81AD-97AF6E1022CE}"/>
              </c:ext>
            </c:extLst>
          </c:dPt>
          <c:dPt>
            <c:idx val="2"/>
            <c:bubble3D val="0"/>
            <c:spPr>
              <a:noFill/>
              <a:ln w="19050">
                <a:solidFill>
                  <a:schemeClr val="tx1"/>
                </a:solidFill>
              </a:ln>
              <a:effectLst/>
            </c:spPr>
            <c:extLst>
              <c:ext xmlns:c16="http://schemas.microsoft.com/office/drawing/2014/chart" uri="{C3380CC4-5D6E-409C-BE32-E72D297353CC}">
                <c16:uniqueId val="{00000006-BD92-415A-81AD-97AF6E1022CE}"/>
              </c:ext>
            </c:extLst>
          </c:dPt>
          <c:val>
            <c:numRef>
              <c:f>CALCULOS!$E$24:$E$26</c:f>
              <c:numCache>
                <c:formatCode>0%</c:formatCode>
                <c:ptCount val="3"/>
                <c:pt idx="0">
                  <c:v>0.6470588235294118</c:v>
                </c:pt>
                <c:pt idx="1">
                  <c:v>0.05</c:v>
                </c:pt>
                <c:pt idx="2">
                  <c:v>1.3529411764705879</c:v>
                </c:pt>
              </c:numCache>
            </c:numRef>
          </c:val>
          <c:extLst>
            <c:ext xmlns:c16="http://schemas.microsoft.com/office/drawing/2014/chart" uri="{C3380CC4-5D6E-409C-BE32-E72D297353CC}">
              <c16:uniqueId val="{00000005-BD92-415A-81AD-97AF6E1022CE}"/>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2-62BE-42F8-8A88-C2A215B95EE4}"/>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62BE-42F8-8A88-C2A215B95EE4}"/>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4-62BE-42F8-8A88-C2A215B95EE4}"/>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5-62BE-42F8-8A88-C2A215B95EE4}"/>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6-62BE-42F8-8A88-C2A215B95EE4}"/>
              </c:ext>
            </c:extLst>
          </c:dPt>
          <c:dPt>
            <c:idx val="5"/>
            <c:bubble3D val="0"/>
            <c:spPr>
              <a:solidFill>
                <a:srgbClr val="1A4779"/>
              </a:solidFill>
              <a:ln w="19050">
                <a:solidFill>
                  <a:schemeClr val="lt1"/>
                </a:solidFill>
              </a:ln>
              <a:effectLst/>
            </c:spPr>
            <c:extLst>
              <c:ext xmlns:c16="http://schemas.microsoft.com/office/drawing/2014/chart" uri="{C3380CC4-5D6E-409C-BE32-E72D297353CC}">
                <c16:uniqueId val="{0000000B-62BE-42F8-8A88-C2A215B95EE4}"/>
              </c:ext>
            </c:extLst>
          </c:dPt>
          <c:dPt>
            <c:idx val="6"/>
            <c:bubble3D val="0"/>
            <c:spPr>
              <a:solidFill>
                <a:srgbClr val="1A4779"/>
              </a:solidFill>
              <a:ln w="19050">
                <a:solidFill>
                  <a:schemeClr val="lt1"/>
                </a:solidFill>
              </a:ln>
              <a:effectLst/>
            </c:spPr>
            <c:extLst>
              <c:ext xmlns:c16="http://schemas.microsoft.com/office/drawing/2014/chart" uri="{C3380CC4-5D6E-409C-BE32-E72D297353CC}">
                <c16:uniqueId val="{0000000A-62BE-42F8-8A88-C2A215B95EE4}"/>
              </c:ext>
            </c:extLst>
          </c:dPt>
          <c:dPt>
            <c:idx val="7"/>
            <c:bubble3D val="0"/>
            <c:spPr>
              <a:solidFill>
                <a:srgbClr val="1A4779"/>
              </a:solidFill>
              <a:ln w="19050">
                <a:solidFill>
                  <a:schemeClr val="lt1"/>
                </a:solidFill>
              </a:ln>
              <a:effectLst/>
            </c:spPr>
            <c:extLst>
              <c:ext xmlns:c16="http://schemas.microsoft.com/office/drawing/2014/chart" uri="{C3380CC4-5D6E-409C-BE32-E72D297353CC}">
                <c16:uniqueId val="{00000009-62BE-42F8-8A88-C2A215B95EE4}"/>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08-62BE-42F8-8A88-C2A215B95EE4}"/>
              </c:ext>
            </c:extLst>
          </c:dPt>
          <c:dPt>
            <c:idx val="9"/>
            <c:bubble3D val="0"/>
            <c:spPr>
              <a:solidFill>
                <a:srgbClr val="47A8C2"/>
              </a:solidFill>
              <a:ln w="19050">
                <a:solidFill>
                  <a:schemeClr val="lt1"/>
                </a:solidFill>
              </a:ln>
              <a:effectLst/>
            </c:spPr>
            <c:extLst>
              <c:ext xmlns:c16="http://schemas.microsoft.com/office/drawing/2014/chart" uri="{C3380CC4-5D6E-409C-BE32-E72D297353CC}">
                <c16:uniqueId val="{00000007-62BE-42F8-8A88-C2A215B95EE4}"/>
              </c:ext>
            </c:extLst>
          </c:dPt>
          <c:dPt>
            <c:idx val="10"/>
            <c:bubble3D val="0"/>
            <c:spPr>
              <a:noFill/>
              <a:ln w="19050">
                <a:noFill/>
              </a:ln>
              <a:effectLst/>
            </c:spPr>
            <c:extLst>
              <c:ext xmlns:c16="http://schemas.microsoft.com/office/drawing/2014/chart" uri="{C3380CC4-5D6E-409C-BE32-E72D297353CC}">
                <c16:uniqueId val="{00000001-62BE-42F8-8A88-C2A215B95EE4}"/>
              </c:ext>
            </c:extLst>
          </c:dPt>
          <c:dLbls>
            <c:dLbl>
              <c:idx val="0"/>
              <c:tx>
                <c:rich>
                  <a:bodyPr/>
                  <a:lstStyle/>
                  <a:p>
                    <a:fld id="{B85062FF-9100-4619-9A83-1C297C0718A4}" type="CELLRANGE">
                      <a:rPr lang="en-US"/>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2BE-42F8-8A88-C2A215B95EE4}"/>
                </c:ext>
              </c:extLst>
            </c:dLbl>
            <c:dLbl>
              <c:idx val="1"/>
              <c:tx>
                <c:rich>
                  <a:bodyPr/>
                  <a:lstStyle/>
                  <a:p>
                    <a:fld id="{D8A07401-91EA-46D0-AE4D-2D54BF9CD291}"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BE-42F8-8A88-C2A215B95EE4}"/>
                </c:ext>
              </c:extLst>
            </c:dLbl>
            <c:dLbl>
              <c:idx val="2"/>
              <c:tx>
                <c:rich>
                  <a:bodyPr/>
                  <a:lstStyle/>
                  <a:p>
                    <a:fld id="{1A20428E-AD50-4CCE-9A6B-CED1E91FF09A}"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BE-42F8-8A88-C2A215B95EE4}"/>
                </c:ext>
              </c:extLst>
            </c:dLbl>
            <c:dLbl>
              <c:idx val="3"/>
              <c:tx>
                <c:rich>
                  <a:bodyPr/>
                  <a:lstStyle/>
                  <a:p>
                    <a:fld id="{538EE160-9469-49EB-AE1C-B00B645AA822}"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BE-42F8-8A88-C2A215B95EE4}"/>
                </c:ext>
              </c:extLst>
            </c:dLbl>
            <c:dLbl>
              <c:idx val="4"/>
              <c:tx>
                <c:rich>
                  <a:bodyPr/>
                  <a:lstStyle/>
                  <a:p>
                    <a:fld id="{F70CB279-1DBF-4FBD-84A5-926537BD48F2}"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BE-42F8-8A88-C2A215B95EE4}"/>
                </c:ext>
              </c:extLst>
            </c:dLbl>
            <c:dLbl>
              <c:idx val="5"/>
              <c:tx>
                <c:rich>
                  <a:bodyPr/>
                  <a:lstStyle/>
                  <a:p>
                    <a:fld id="{A75B42CF-3168-4723-9F58-BBAF417065A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2BE-42F8-8A88-C2A215B95EE4}"/>
                </c:ext>
              </c:extLst>
            </c:dLbl>
            <c:dLbl>
              <c:idx val="6"/>
              <c:tx>
                <c:rich>
                  <a:bodyPr/>
                  <a:lstStyle/>
                  <a:p>
                    <a:fld id="{F05DDA04-96E1-4EBC-80A0-6BADC8E0E22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BE-42F8-8A88-C2A215B95EE4}"/>
                </c:ext>
              </c:extLst>
            </c:dLbl>
            <c:dLbl>
              <c:idx val="7"/>
              <c:tx>
                <c:rich>
                  <a:bodyPr/>
                  <a:lstStyle/>
                  <a:p>
                    <a:fld id="{E4A7BAEC-EE03-4A34-9773-0C918C83D330}"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BE-42F8-8A88-C2A215B95EE4}"/>
                </c:ext>
              </c:extLst>
            </c:dLbl>
            <c:dLbl>
              <c:idx val="8"/>
              <c:tx>
                <c:rich>
                  <a:bodyPr/>
                  <a:lstStyle/>
                  <a:p>
                    <a:fld id="{B20C1EAF-8C71-4EED-8BA6-24D2256275D2}"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BE-42F8-8A88-C2A215B95EE4}"/>
                </c:ext>
              </c:extLst>
            </c:dLbl>
            <c:dLbl>
              <c:idx val="9"/>
              <c:tx>
                <c:rich>
                  <a:bodyPr/>
                  <a:lstStyle/>
                  <a:p>
                    <a:fld id="{9F1A2F8A-37A0-4C24-B002-99B51B51F556}"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BE-42F8-8A88-C2A215B95EE4}"/>
                </c:ext>
              </c:extLst>
            </c:dLbl>
            <c:dLbl>
              <c:idx val="10"/>
              <c:tx>
                <c:rich>
                  <a:bodyPr/>
                  <a:lstStyle/>
                  <a:p>
                    <a:fld id="{13B6D61E-90C1-498D-BF3C-912B72B05A99}"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BE-42F8-8A88-C2A215B95EE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Lit>
              <c:formatCode>General</c:formatCode>
              <c:ptCount val="11"/>
              <c:pt idx="0">
                <c:v>1</c:v>
              </c:pt>
              <c:pt idx="1">
                <c:v>1</c:v>
              </c:pt>
              <c:pt idx="2">
                <c:v>1</c:v>
              </c:pt>
              <c:pt idx="3">
                <c:v>1</c:v>
              </c:pt>
              <c:pt idx="4">
                <c:v>1</c:v>
              </c:pt>
              <c:pt idx="5">
                <c:v>1</c:v>
              </c:pt>
              <c:pt idx="6">
                <c:v>1</c:v>
              </c:pt>
              <c:pt idx="7">
                <c:v>1</c:v>
              </c:pt>
              <c:pt idx="8">
                <c:v>1</c:v>
              </c:pt>
              <c:pt idx="9">
                <c:v>1</c:v>
              </c:pt>
              <c:pt idx="10">
                <c:v>5</c:v>
              </c:pt>
            </c:numLit>
          </c:val>
          <c:extLst>
            <c:ext xmlns:c15="http://schemas.microsoft.com/office/drawing/2012/chart" uri="{02D57815-91ED-43cb-92C2-25804820EDAC}">
              <c15:datalabelsRange>
                <c15:f>CALCULOS!$I$34:$I$44</c15:f>
                <c15:dlblRangeCache>
                  <c:ptCount val="11"/>
                  <c:pt idx="0">
                    <c:v>10%</c:v>
                  </c:pt>
                  <c:pt idx="1">
                    <c:v>20%</c:v>
                  </c:pt>
                  <c:pt idx="2">
                    <c:v>30%</c:v>
                  </c:pt>
                  <c:pt idx="3">
                    <c:v>40%</c:v>
                  </c:pt>
                  <c:pt idx="4">
                    <c:v>50%</c:v>
                  </c:pt>
                  <c:pt idx="5">
                    <c:v>60%</c:v>
                  </c:pt>
                  <c:pt idx="6">
                    <c:v>70%</c:v>
                  </c:pt>
                  <c:pt idx="7">
                    <c:v>80%</c:v>
                  </c:pt>
                  <c:pt idx="8">
                    <c:v>90%</c:v>
                  </c:pt>
                  <c:pt idx="9">
                    <c:v>100%</c:v>
                  </c:pt>
                </c15:dlblRangeCache>
              </c15:datalabelsRange>
            </c:ext>
            <c:ext xmlns:c16="http://schemas.microsoft.com/office/drawing/2014/chart" uri="{C3380CC4-5D6E-409C-BE32-E72D297353CC}">
              <c16:uniqueId val="{00000000-62BE-42F8-8A88-C2A215B95EE4}"/>
            </c:ext>
          </c:extLst>
        </c:ser>
        <c:dLbls>
          <c:showLegendKey val="0"/>
          <c:showVal val="0"/>
          <c:showCatName val="0"/>
          <c:showSerName val="0"/>
          <c:showPercent val="0"/>
          <c:showBubbleSize val="0"/>
          <c:showLeaderLines val="1"/>
        </c:dLbls>
        <c:firstSliceAng val="240"/>
        <c:holeSize val="55"/>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E-62BE-42F8-8A88-C2A215B95EE4}"/>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F-62BE-42F8-8A88-C2A215B95EE4}"/>
              </c:ext>
            </c:extLst>
          </c:dPt>
          <c:dPt>
            <c:idx val="2"/>
            <c:bubble3D val="0"/>
            <c:spPr>
              <a:noFill/>
              <a:ln w="19050">
                <a:solidFill>
                  <a:schemeClr val="lt1"/>
                </a:solidFill>
              </a:ln>
              <a:effectLst/>
            </c:spPr>
            <c:extLst>
              <c:ext xmlns:c16="http://schemas.microsoft.com/office/drawing/2014/chart" uri="{C3380CC4-5D6E-409C-BE32-E72D297353CC}">
                <c16:uniqueId val="{0000000D-62BE-42F8-8A88-C2A215B95EE4}"/>
              </c:ext>
            </c:extLst>
          </c:dPt>
          <c:val>
            <c:numRef>
              <c:f>CALCULOS!$E$36:$E$38</c:f>
              <c:numCache>
                <c:formatCode>0%</c:formatCode>
                <c:ptCount val="3"/>
                <c:pt idx="0">
                  <c:v>0.67647058823529416</c:v>
                </c:pt>
                <c:pt idx="1">
                  <c:v>0.05</c:v>
                </c:pt>
                <c:pt idx="2">
                  <c:v>0.85352941176470587</c:v>
                </c:pt>
              </c:numCache>
            </c:numRef>
          </c:val>
          <c:extLst>
            <c:ext xmlns:c16="http://schemas.microsoft.com/office/drawing/2014/chart" uri="{C3380CC4-5D6E-409C-BE32-E72D297353CC}">
              <c16:uniqueId val="{0000000C-62BE-42F8-8A88-C2A215B95EE4}"/>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D-514E-481D-AF9F-9FC79C0FFF3A}"/>
              </c:ext>
            </c:extLst>
          </c:dPt>
          <c:val>
            <c:numRef>
              <c:f>CALCULOS!$E$55:$E$56</c:f>
              <c:numCache>
                <c:formatCode>0%</c:formatCode>
                <c:ptCount val="2"/>
                <c:pt idx="0">
                  <c:v>0.1</c:v>
                </c:pt>
                <c:pt idx="1">
                  <c:v>0.53823529411764703</c:v>
                </c:pt>
              </c:numCache>
            </c:numRef>
          </c:val>
          <c:extLst>
            <c:ext xmlns:c16="http://schemas.microsoft.com/office/drawing/2014/chart" uri="{C3380CC4-5D6E-409C-BE32-E72D297353CC}">
              <c16:uniqueId val="{00000000-514E-481D-AF9F-9FC79C0FFF3A}"/>
            </c:ext>
          </c:extLst>
        </c:ser>
        <c:ser>
          <c:idx val="1"/>
          <c:order val="1"/>
          <c:spPr>
            <a:solidFill>
              <a:schemeClr val="accent2"/>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A-514E-481D-AF9F-9FC79C0FFF3A}"/>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F-514E-481D-AF9F-9FC79C0FFF3A}"/>
              </c:ext>
            </c:extLst>
          </c:dPt>
          <c:dLbls>
            <c:dLbl>
              <c:idx val="1"/>
              <c:layout>
                <c:manualLayout>
                  <c:x val="9.5833333333333326E-2"/>
                  <c:y val="2.172958527349652E-2"/>
                </c:manualLayout>
              </c:layout>
              <c:tx>
                <c:strRef>
                  <c:f>CALCULOS!$E$53</c:f>
                  <c:strCache>
                    <c:ptCount val="1"/>
                    <c:pt idx="0">
                      <c:v>59%</c:v>
                    </c:pt>
                  </c:strCache>
                </c:strRef>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extLst>
                <c:ext xmlns:c15="http://schemas.microsoft.com/office/drawing/2012/chart" uri="{CE6537A1-D6FC-4f65-9D91-7224C49458BB}">
                  <c15:layout>
                    <c:manualLayout>
                      <c:w val="0.11358333333333331"/>
                      <c:h val="0.18219567286131494"/>
                    </c:manualLayout>
                  </c15:layout>
                  <c15:dlblFieldTable>
                    <c15:dlblFTEntry>
                      <c15:txfldGUID>{16294284-A9AB-4470-8AF6-B49631AF3B44}</c15:txfldGUID>
                      <c15:f>CALCULOS!$E$53</c15:f>
                      <c15:dlblFieldTableCache>
                        <c:ptCount val="1"/>
                        <c:pt idx="0">
                          <c:v>59%</c:v>
                        </c:pt>
                      </c15:dlblFieldTableCache>
                    </c15:dlblFTEntry>
                  </c15:dlblFieldTable>
                  <c15:showDataLabelsRange val="0"/>
                </c:ext>
                <c:ext xmlns:c16="http://schemas.microsoft.com/office/drawing/2014/chart" uri="{C3380CC4-5D6E-409C-BE32-E72D297353CC}">
                  <c16:uniqueId val="{0000000F-514E-481D-AF9F-9FC79C0FFF3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CALCULOS!$F$55:$F$56</c:f>
              <c:numCache>
                <c:formatCode>0%</c:formatCode>
                <c:ptCount val="2"/>
                <c:pt idx="0">
                  <c:v>0.1</c:v>
                </c:pt>
                <c:pt idx="1">
                  <c:v>0.05</c:v>
                </c:pt>
              </c:numCache>
            </c:numRef>
          </c:val>
          <c:extLst>
            <c:ext xmlns:c16="http://schemas.microsoft.com/office/drawing/2014/chart" uri="{C3380CC4-5D6E-409C-BE32-E72D297353CC}">
              <c16:uniqueId val="{00000001-514E-481D-AF9F-9FC79C0FFF3A}"/>
            </c:ext>
          </c:extLst>
        </c:ser>
        <c:ser>
          <c:idx val="2"/>
          <c:order val="2"/>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E-514E-481D-AF9F-9FC79C0FFF3A}"/>
              </c:ext>
            </c:extLst>
          </c:dPt>
          <c:val>
            <c:numRef>
              <c:f>CALCULOS!$G$55:$G$56</c:f>
              <c:numCache>
                <c:formatCode>0%</c:formatCode>
                <c:ptCount val="2"/>
                <c:pt idx="0">
                  <c:v>0.1</c:v>
                </c:pt>
                <c:pt idx="1">
                  <c:v>0.41176470588235292</c:v>
                </c:pt>
              </c:numCache>
            </c:numRef>
          </c:val>
          <c:extLst>
            <c:ext xmlns:c16="http://schemas.microsoft.com/office/drawing/2014/chart" uri="{C3380CC4-5D6E-409C-BE32-E72D297353CC}">
              <c16:uniqueId val="{00000002-514E-481D-AF9F-9FC79C0FFF3A}"/>
            </c:ext>
          </c:extLst>
        </c:ser>
        <c:ser>
          <c:idx val="3"/>
          <c:order val="3"/>
          <c:spPr>
            <a:solidFill>
              <a:schemeClr val="accent4"/>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B-514E-481D-AF9F-9FC79C0FFF3A}"/>
              </c:ext>
            </c:extLst>
          </c:dPt>
          <c:val>
            <c:numRef>
              <c:f>CALCULOS!$H$55:$H$56</c:f>
              <c:numCache>
                <c:formatCode>0%</c:formatCode>
                <c:ptCount val="2"/>
                <c:pt idx="0">
                  <c:v>0.1</c:v>
                </c:pt>
              </c:numCache>
            </c:numRef>
          </c:val>
          <c:extLst>
            <c:ext xmlns:c16="http://schemas.microsoft.com/office/drawing/2014/chart" uri="{C3380CC4-5D6E-409C-BE32-E72D297353CC}">
              <c16:uniqueId val="{00000003-514E-481D-AF9F-9FC79C0FFF3A}"/>
            </c:ext>
          </c:extLst>
        </c:ser>
        <c:ser>
          <c:idx val="4"/>
          <c:order val="4"/>
          <c:spPr>
            <a:solidFill>
              <a:schemeClr val="accent5"/>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C-514E-481D-AF9F-9FC79C0FFF3A}"/>
              </c:ext>
            </c:extLst>
          </c:dPt>
          <c:val>
            <c:numRef>
              <c:f>CALCULOS!$I$55:$I$56</c:f>
              <c:numCache>
                <c:formatCode>0%</c:formatCode>
                <c:ptCount val="2"/>
                <c:pt idx="0">
                  <c:v>0.1</c:v>
                </c:pt>
              </c:numCache>
            </c:numRef>
          </c:val>
          <c:extLst>
            <c:ext xmlns:c16="http://schemas.microsoft.com/office/drawing/2014/chart" uri="{C3380CC4-5D6E-409C-BE32-E72D297353CC}">
              <c16:uniqueId val="{00000004-514E-481D-AF9F-9FC79C0FFF3A}"/>
            </c:ext>
          </c:extLst>
        </c:ser>
        <c:ser>
          <c:idx val="5"/>
          <c:order val="5"/>
          <c:spPr>
            <a:solidFill>
              <a:srgbClr val="1A4779"/>
            </a:solidFill>
            <a:ln>
              <a:noFill/>
            </a:ln>
            <a:effectLst/>
          </c:spPr>
          <c:invertIfNegative val="0"/>
          <c:val>
            <c:numRef>
              <c:f>CALCULOS!$J$55:$J$56</c:f>
              <c:numCache>
                <c:formatCode>0%</c:formatCode>
                <c:ptCount val="2"/>
                <c:pt idx="0">
                  <c:v>0.1</c:v>
                </c:pt>
              </c:numCache>
            </c:numRef>
          </c:val>
          <c:extLst>
            <c:ext xmlns:c16="http://schemas.microsoft.com/office/drawing/2014/chart" uri="{C3380CC4-5D6E-409C-BE32-E72D297353CC}">
              <c16:uniqueId val="{00000005-514E-481D-AF9F-9FC79C0FFF3A}"/>
            </c:ext>
          </c:extLst>
        </c:ser>
        <c:ser>
          <c:idx val="6"/>
          <c:order val="6"/>
          <c:spPr>
            <a:solidFill>
              <a:srgbClr val="1A4779"/>
            </a:solidFill>
            <a:ln>
              <a:noFill/>
            </a:ln>
            <a:effectLst/>
          </c:spPr>
          <c:invertIfNegative val="0"/>
          <c:val>
            <c:numRef>
              <c:f>CALCULOS!$K$55:$K$56</c:f>
              <c:numCache>
                <c:formatCode>0%</c:formatCode>
                <c:ptCount val="2"/>
                <c:pt idx="0">
                  <c:v>0.1</c:v>
                </c:pt>
              </c:numCache>
            </c:numRef>
          </c:val>
          <c:extLst>
            <c:ext xmlns:c16="http://schemas.microsoft.com/office/drawing/2014/chart" uri="{C3380CC4-5D6E-409C-BE32-E72D297353CC}">
              <c16:uniqueId val="{00000006-514E-481D-AF9F-9FC79C0FFF3A}"/>
            </c:ext>
          </c:extLst>
        </c:ser>
        <c:ser>
          <c:idx val="7"/>
          <c:order val="7"/>
          <c:spPr>
            <a:solidFill>
              <a:srgbClr val="1A4779"/>
            </a:solidFill>
            <a:ln>
              <a:noFill/>
            </a:ln>
            <a:effectLst/>
          </c:spPr>
          <c:invertIfNegative val="0"/>
          <c:val>
            <c:numRef>
              <c:f>CALCULOS!$L$55:$L$56</c:f>
              <c:numCache>
                <c:formatCode>0%</c:formatCode>
                <c:ptCount val="2"/>
                <c:pt idx="0">
                  <c:v>0.1</c:v>
                </c:pt>
              </c:numCache>
            </c:numRef>
          </c:val>
          <c:extLst>
            <c:ext xmlns:c16="http://schemas.microsoft.com/office/drawing/2014/chart" uri="{C3380CC4-5D6E-409C-BE32-E72D297353CC}">
              <c16:uniqueId val="{00000007-514E-481D-AF9F-9FC79C0FFF3A}"/>
            </c:ext>
          </c:extLst>
        </c:ser>
        <c:ser>
          <c:idx val="8"/>
          <c:order val="8"/>
          <c:spPr>
            <a:solidFill>
              <a:srgbClr val="47A8C2"/>
            </a:solidFill>
            <a:ln>
              <a:noFill/>
            </a:ln>
            <a:effectLst/>
          </c:spPr>
          <c:invertIfNegative val="0"/>
          <c:val>
            <c:numRef>
              <c:f>CALCULOS!$M$55:$M$56</c:f>
              <c:numCache>
                <c:formatCode>0%</c:formatCode>
                <c:ptCount val="2"/>
                <c:pt idx="0">
                  <c:v>0.1</c:v>
                </c:pt>
              </c:numCache>
            </c:numRef>
          </c:val>
          <c:extLst>
            <c:ext xmlns:c16="http://schemas.microsoft.com/office/drawing/2014/chart" uri="{C3380CC4-5D6E-409C-BE32-E72D297353CC}">
              <c16:uniqueId val="{00000008-514E-481D-AF9F-9FC79C0FFF3A}"/>
            </c:ext>
          </c:extLst>
        </c:ser>
        <c:ser>
          <c:idx val="9"/>
          <c:order val="9"/>
          <c:spPr>
            <a:solidFill>
              <a:srgbClr val="47A8C2"/>
            </a:solidFill>
            <a:ln>
              <a:noFill/>
            </a:ln>
            <a:effectLst/>
          </c:spPr>
          <c:invertIfNegative val="0"/>
          <c:val>
            <c:numRef>
              <c:f>CALCULOS!$N$55:$N$56</c:f>
              <c:numCache>
                <c:formatCode>0%</c:formatCode>
                <c:ptCount val="2"/>
                <c:pt idx="0">
                  <c:v>0.1</c:v>
                </c:pt>
              </c:numCache>
            </c:numRef>
          </c:val>
          <c:extLst>
            <c:ext xmlns:c16="http://schemas.microsoft.com/office/drawing/2014/chart" uri="{C3380CC4-5D6E-409C-BE32-E72D297353CC}">
              <c16:uniqueId val="{00000009-514E-481D-AF9F-9FC79C0FFF3A}"/>
            </c:ext>
          </c:extLst>
        </c:ser>
        <c:dLbls>
          <c:showLegendKey val="0"/>
          <c:showVal val="0"/>
          <c:showCatName val="0"/>
          <c:showSerName val="0"/>
          <c:showPercent val="0"/>
          <c:showBubbleSize val="0"/>
        </c:dLbls>
        <c:gapWidth val="0"/>
        <c:overlap val="100"/>
        <c:axId val="814426031"/>
        <c:axId val="814420751"/>
      </c:barChart>
      <c:catAx>
        <c:axId val="814426031"/>
        <c:scaling>
          <c:orientation val="minMax"/>
        </c:scaling>
        <c:delete val="1"/>
        <c:axPos val="l"/>
        <c:majorTickMark val="none"/>
        <c:minorTickMark val="none"/>
        <c:tickLblPos val="nextTo"/>
        <c:crossAx val="814420751"/>
        <c:crosses val="autoZero"/>
        <c:auto val="1"/>
        <c:lblAlgn val="ctr"/>
        <c:lblOffset val="100"/>
        <c:noMultiLvlLbl val="0"/>
      </c:catAx>
      <c:valAx>
        <c:axId val="814420751"/>
        <c:scaling>
          <c:orientation val="minMax"/>
          <c:max val="1.05"/>
          <c:min val="0"/>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PE"/>
          </a:p>
        </c:txPr>
        <c:crossAx val="814426031"/>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89B3-43D4-9CE9-9C7EB062D19D}"/>
              </c:ext>
            </c:extLst>
          </c:dPt>
          <c:val>
            <c:numRef>
              <c:f>CALCULOS!$D$67</c:f>
              <c:numCache>
                <c:formatCode>0%</c:formatCode>
                <c:ptCount val="1"/>
                <c:pt idx="0">
                  <c:v>0.20588235294117646</c:v>
                </c:pt>
              </c:numCache>
            </c:numRef>
          </c:val>
          <c:extLst>
            <c:ext xmlns:c16="http://schemas.microsoft.com/office/drawing/2014/chart" uri="{C3380CC4-5D6E-409C-BE32-E72D297353CC}">
              <c16:uniqueId val="{00000000-89B3-43D4-9CE9-9C7EB062D19D}"/>
            </c:ext>
          </c:extLst>
        </c:ser>
        <c:ser>
          <c:idx val="1"/>
          <c:order val="1"/>
          <c:spPr>
            <a:solidFill>
              <a:schemeClr val="accent2"/>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2-89B3-43D4-9CE9-9C7EB062D19D}"/>
              </c:ext>
            </c:extLst>
          </c:dPt>
          <c:val>
            <c:numRef>
              <c:f>CALCULOS!$E$67</c:f>
              <c:numCache>
                <c:formatCode>0%</c:formatCode>
                <c:ptCount val="1"/>
                <c:pt idx="0">
                  <c:v>0.79411764705882359</c:v>
                </c:pt>
              </c:numCache>
            </c:numRef>
          </c:val>
          <c:extLst>
            <c:ext xmlns:c16="http://schemas.microsoft.com/office/drawing/2014/chart" uri="{C3380CC4-5D6E-409C-BE32-E72D297353CC}">
              <c16:uniqueId val="{00000001-89B3-43D4-9CE9-9C7EB062D19D}"/>
            </c:ext>
          </c:extLst>
        </c:ser>
        <c:dLbls>
          <c:showLegendKey val="0"/>
          <c:showVal val="0"/>
          <c:showCatName val="0"/>
          <c:showSerName val="0"/>
          <c:showPercent val="0"/>
          <c:showBubbleSize val="0"/>
        </c:dLbls>
        <c:gapWidth val="0"/>
        <c:overlap val="100"/>
        <c:axId val="813692975"/>
        <c:axId val="813698735"/>
      </c:barChart>
      <c:catAx>
        <c:axId val="813692975"/>
        <c:scaling>
          <c:orientation val="minMax"/>
        </c:scaling>
        <c:delete val="1"/>
        <c:axPos val="b"/>
        <c:majorTickMark val="none"/>
        <c:minorTickMark val="none"/>
        <c:tickLblPos val="nextTo"/>
        <c:crossAx val="813698735"/>
        <c:crosses val="autoZero"/>
        <c:auto val="1"/>
        <c:lblAlgn val="ctr"/>
        <c:lblOffset val="100"/>
        <c:noMultiLvlLbl val="0"/>
      </c:catAx>
      <c:valAx>
        <c:axId val="813698735"/>
        <c:scaling>
          <c:orientation val="minMax"/>
          <c:max val="1"/>
        </c:scaling>
        <c:delete val="1"/>
        <c:axPos val="l"/>
        <c:numFmt formatCode="0%" sourceLinked="1"/>
        <c:majorTickMark val="none"/>
        <c:minorTickMark val="none"/>
        <c:tickLblPos val="nextTo"/>
        <c:crossAx val="81369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7.png"/><Relationship Id="rId9" Type="http://schemas.openxmlformats.org/officeDocument/2006/relationships/chart" Target="../charts/chart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image" Target="../media/image6.png"/><Relationship Id="rId1" Type="http://schemas.openxmlformats.org/officeDocument/2006/relationships/chart" Target="../charts/chart8.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image" Target="../media/image7.png"/><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66675</xdr:colOff>
      <xdr:row>2</xdr:row>
      <xdr:rowOff>133350</xdr:rowOff>
    </xdr:to>
    <xdr:sp macro="" textlink="">
      <xdr:nvSpPr>
        <xdr:cNvPr id="2" name="Rectángulo: esquinas redondeadas 1">
          <a:extLst>
            <a:ext uri="{FF2B5EF4-FFF2-40B4-BE49-F238E27FC236}">
              <a16:creationId xmlns:a16="http://schemas.microsoft.com/office/drawing/2014/main" id="{AB0B4B84-B159-B519-8DDD-AD96E4AC9D26}"/>
            </a:ext>
          </a:extLst>
        </xdr:cNvPr>
        <xdr:cNvSpPr/>
      </xdr:nvSpPr>
      <xdr:spPr>
        <a:xfrm>
          <a:off x="0" y="0"/>
          <a:ext cx="8448675" cy="514350"/>
        </a:xfrm>
        <a:prstGeom prst="roundRect">
          <a:avLst/>
        </a:prstGeom>
        <a:solidFill>
          <a:srgbClr val="1A4779"/>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800" b="1"/>
            <a:t>PROYECTO - CREACION</a:t>
          </a:r>
          <a:r>
            <a:rPr lang="es-PE" sz="1800" b="1" baseline="0"/>
            <a:t> DE FORMULARIO CON VBA Y VIZUALISACION EN DASHBOARD</a:t>
          </a:r>
          <a:endParaRPr lang="es-PE" sz="1800" b="1"/>
        </a:p>
      </xdr:txBody>
    </xdr:sp>
    <xdr:clientData/>
  </xdr:twoCellAnchor>
  <xdr:twoCellAnchor>
    <xdr:from>
      <xdr:col>0</xdr:col>
      <xdr:colOff>89648</xdr:colOff>
      <xdr:row>4</xdr:row>
      <xdr:rowOff>145676</xdr:rowOff>
    </xdr:from>
    <xdr:to>
      <xdr:col>10</xdr:col>
      <xdr:colOff>694765</xdr:colOff>
      <xdr:row>8</xdr:row>
      <xdr:rowOff>81643</xdr:rowOff>
    </xdr:to>
    <xdr:sp macro="" textlink="">
      <xdr:nvSpPr>
        <xdr:cNvPr id="3" name="Rectángulo 2">
          <a:extLst>
            <a:ext uri="{FF2B5EF4-FFF2-40B4-BE49-F238E27FC236}">
              <a16:creationId xmlns:a16="http://schemas.microsoft.com/office/drawing/2014/main" id="{5E305D30-4E8A-6932-349D-2AE04FCB7474}"/>
            </a:ext>
          </a:extLst>
        </xdr:cNvPr>
        <xdr:cNvSpPr/>
      </xdr:nvSpPr>
      <xdr:spPr>
        <a:xfrm>
          <a:off x="89648" y="1043747"/>
          <a:ext cx="8225117" cy="69796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solidFill>
                <a:schemeClr val="tx1"/>
              </a:solidFill>
            </a:rPr>
            <a:t>En este proyecto se realizo</a:t>
          </a:r>
          <a:r>
            <a:rPr lang="es-PE" sz="1100" baseline="0">
              <a:solidFill>
                <a:schemeClr val="tx1"/>
              </a:solidFill>
            </a:rPr>
            <a:t> la creacion de un registro de datos de una universidad ficticia con datos ficticios, con el fin de poder vizualizar el comportamiento de los KPIS tomados la base de datos, vizualisandolos en el dashboard,</a:t>
          </a:r>
        </a:p>
        <a:p>
          <a:pPr algn="l"/>
          <a:endParaRPr lang="es-PE" sz="1100"/>
        </a:p>
      </xdr:txBody>
    </xdr:sp>
    <xdr:clientData/>
  </xdr:twoCellAnchor>
  <xdr:twoCellAnchor editAs="oneCell">
    <xdr:from>
      <xdr:col>0</xdr:col>
      <xdr:colOff>46425</xdr:colOff>
      <xdr:row>12</xdr:row>
      <xdr:rowOff>90447</xdr:rowOff>
    </xdr:from>
    <xdr:to>
      <xdr:col>8</xdr:col>
      <xdr:colOff>561896</xdr:colOff>
      <xdr:row>32</xdr:row>
      <xdr:rowOff>144202</xdr:rowOff>
    </xdr:to>
    <xdr:pic>
      <xdr:nvPicPr>
        <xdr:cNvPr id="4" name="Imagen 3">
          <a:extLst>
            <a:ext uri="{FF2B5EF4-FFF2-40B4-BE49-F238E27FC236}">
              <a16:creationId xmlns:a16="http://schemas.microsoft.com/office/drawing/2014/main" id="{F07B4293-EF3D-384B-EF09-52B3DB024FEF}"/>
            </a:ext>
          </a:extLst>
        </xdr:cNvPr>
        <xdr:cNvPicPr>
          <a:picLocks noChangeAspect="1"/>
        </xdr:cNvPicPr>
      </xdr:nvPicPr>
      <xdr:blipFill>
        <a:blip xmlns:r="http://schemas.openxmlformats.org/officeDocument/2006/relationships" r:embed="rId1"/>
        <a:stretch>
          <a:fillRect/>
        </a:stretch>
      </xdr:blipFill>
      <xdr:spPr>
        <a:xfrm>
          <a:off x="46425" y="2539733"/>
          <a:ext cx="6611471" cy="3863755"/>
        </a:xfrm>
        <a:prstGeom prst="rect">
          <a:avLst/>
        </a:prstGeom>
      </xdr:spPr>
    </xdr:pic>
    <xdr:clientData/>
  </xdr:twoCellAnchor>
  <xdr:twoCellAnchor editAs="oneCell">
    <xdr:from>
      <xdr:col>0</xdr:col>
      <xdr:colOff>68035</xdr:colOff>
      <xdr:row>43</xdr:row>
      <xdr:rowOff>163285</xdr:rowOff>
    </xdr:from>
    <xdr:to>
      <xdr:col>10</xdr:col>
      <xdr:colOff>426623</xdr:colOff>
      <xdr:row>46</xdr:row>
      <xdr:rowOff>75612</xdr:rowOff>
    </xdr:to>
    <xdr:pic>
      <xdr:nvPicPr>
        <xdr:cNvPr id="5" name="Imagen 4">
          <a:extLst>
            <a:ext uri="{FF2B5EF4-FFF2-40B4-BE49-F238E27FC236}">
              <a16:creationId xmlns:a16="http://schemas.microsoft.com/office/drawing/2014/main" id="{E0F06744-F772-8803-DCA2-D9E8AB2AA6B0}"/>
            </a:ext>
          </a:extLst>
        </xdr:cNvPr>
        <xdr:cNvPicPr>
          <a:picLocks noChangeAspect="1"/>
        </xdr:cNvPicPr>
      </xdr:nvPicPr>
      <xdr:blipFill>
        <a:blip xmlns:r="http://schemas.openxmlformats.org/officeDocument/2006/relationships" r:embed="rId2"/>
        <a:stretch>
          <a:fillRect/>
        </a:stretch>
      </xdr:blipFill>
      <xdr:spPr>
        <a:xfrm>
          <a:off x="68035" y="8871856"/>
          <a:ext cx="7978588" cy="483827"/>
        </a:xfrm>
        <a:prstGeom prst="rect">
          <a:avLst/>
        </a:prstGeom>
      </xdr:spPr>
    </xdr:pic>
    <xdr:clientData/>
  </xdr:twoCellAnchor>
  <xdr:twoCellAnchor editAs="oneCell">
    <xdr:from>
      <xdr:col>0</xdr:col>
      <xdr:colOff>40821</xdr:colOff>
      <xdr:row>58</xdr:row>
      <xdr:rowOff>27215</xdr:rowOff>
    </xdr:from>
    <xdr:to>
      <xdr:col>15</xdr:col>
      <xdr:colOff>193291</xdr:colOff>
      <xdr:row>79</xdr:row>
      <xdr:rowOff>65879</xdr:rowOff>
    </xdr:to>
    <xdr:pic>
      <xdr:nvPicPr>
        <xdr:cNvPr id="6" name="Imagen 5">
          <a:extLst>
            <a:ext uri="{FF2B5EF4-FFF2-40B4-BE49-F238E27FC236}">
              <a16:creationId xmlns:a16="http://schemas.microsoft.com/office/drawing/2014/main" id="{048D5F24-D000-DD5B-715A-8E879463155D}"/>
            </a:ext>
          </a:extLst>
        </xdr:cNvPr>
        <xdr:cNvPicPr>
          <a:picLocks noChangeAspect="1"/>
        </xdr:cNvPicPr>
      </xdr:nvPicPr>
      <xdr:blipFill>
        <a:blip xmlns:r="http://schemas.openxmlformats.org/officeDocument/2006/relationships" r:embed="rId3"/>
        <a:stretch>
          <a:fillRect/>
        </a:stretch>
      </xdr:blipFill>
      <xdr:spPr>
        <a:xfrm>
          <a:off x="40821" y="11688536"/>
          <a:ext cx="12548577" cy="4039164"/>
        </a:xfrm>
        <a:prstGeom prst="rect">
          <a:avLst/>
        </a:prstGeom>
      </xdr:spPr>
    </xdr:pic>
    <xdr:clientData/>
  </xdr:twoCellAnchor>
  <xdr:twoCellAnchor editAs="oneCell">
    <xdr:from>
      <xdr:col>0</xdr:col>
      <xdr:colOff>381000</xdr:colOff>
      <xdr:row>38</xdr:row>
      <xdr:rowOff>68036</xdr:rowOff>
    </xdr:from>
    <xdr:to>
      <xdr:col>1</xdr:col>
      <xdr:colOff>685949</xdr:colOff>
      <xdr:row>38</xdr:row>
      <xdr:rowOff>372879</xdr:rowOff>
    </xdr:to>
    <xdr:pic>
      <xdr:nvPicPr>
        <xdr:cNvPr id="7" name="Imagen 6">
          <a:extLst>
            <a:ext uri="{FF2B5EF4-FFF2-40B4-BE49-F238E27FC236}">
              <a16:creationId xmlns:a16="http://schemas.microsoft.com/office/drawing/2014/main" id="{2DE87033-549B-5235-C8A0-17328A9206C7}"/>
            </a:ext>
          </a:extLst>
        </xdr:cNvPr>
        <xdr:cNvPicPr>
          <a:picLocks noChangeAspect="1"/>
        </xdr:cNvPicPr>
      </xdr:nvPicPr>
      <xdr:blipFill>
        <a:blip xmlns:r="http://schemas.openxmlformats.org/officeDocument/2006/relationships" r:embed="rId4"/>
        <a:stretch>
          <a:fillRect/>
        </a:stretch>
      </xdr:blipFill>
      <xdr:spPr>
        <a:xfrm>
          <a:off x="381000" y="7551965"/>
          <a:ext cx="1066949" cy="304843"/>
        </a:xfrm>
        <a:prstGeom prst="rect">
          <a:avLst/>
        </a:prstGeom>
      </xdr:spPr>
    </xdr:pic>
    <xdr:clientData/>
  </xdr:twoCellAnchor>
  <xdr:twoCellAnchor editAs="oneCell">
    <xdr:from>
      <xdr:col>3</xdr:col>
      <xdr:colOff>0</xdr:colOff>
      <xdr:row>38</xdr:row>
      <xdr:rowOff>0</xdr:rowOff>
    </xdr:from>
    <xdr:to>
      <xdr:col>3</xdr:col>
      <xdr:colOff>371527</xdr:colOff>
      <xdr:row>38</xdr:row>
      <xdr:rowOff>381053</xdr:rowOff>
    </xdr:to>
    <xdr:pic>
      <xdr:nvPicPr>
        <xdr:cNvPr id="8" name="Imagen 7">
          <a:extLst>
            <a:ext uri="{FF2B5EF4-FFF2-40B4-BE49-F238E27FC236}">
              <a16:creationId xmlns:a16="http://schemas.microsoft.com/office/drawing/2014/main" id="{41C6BA00-6912-3405-0B44-628454204AD2}"/>
            </a:ext>
          </a:extLst>
        </xdr:cNvPr>
        <xdr:cNvPicPr>
          <a:picLocks noChangeAspect="1"/>
        </xdr:cNvPicPr>
      </xdr:nvPicPr>
      <xdr:blipFill>
        <a:blip xmlns:r="http://schemas.openxmlformats.org/officeDocument/2006/relationships" r:embed="rId5"/>
        <a:stretch>
          <a:fillRect/>
        </a:stretch>
      </xdr:blipFill>
      <xdr:spPr>
        <a:xfrm>
          <a:off x="2286000" y="7483929"/>
          <a:ext cx="371527"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571500</xdr:colOff>
      <xdr:row>1</xdr:row>
      <xdr:rowOff>9525</xdr:rowOff>
    </xdr:from>
    <xdr:to>
      <xdr:col>6</xdr:col>
      <xdr:colOff>990600</xdr:colOff>
      <xdr:row>2</xdr:row>
      <xdr:rowOff>9525</xdr:rowOff>
    </xdr:to>
    <xdr:sp macro="[0]!Formulario" textlink="">
      <xdr:nvSpPr>
        <xdr:cNvPr id="3" name="Rectángulo: esquinas redondeadas 2">
          <a:extLst>
            <a:ext uri="{FF2B5EF4-FFF2-40B4-BE49-F238E27FC236}">
              <a16:creationId xmlns:a16="http://schemas.microsoft.com/office/drawing/2014/main" id="{9BFA36C7-BB76-AB45-8725-E17CA3DDABE5}"/>
            </a:ext>
          </a:extLst>
        </xdr:cNvPr>
        <xdr:cNvSpPr/>
      </xdr:nvSpPr>
      <xdr:spPr>
        <a:xfrm>
          <a:off x="6877050" y="200025"/>
          <a:ext cx="1276350" cy="3524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PE" sz="1400" b="1">
              <a:solidFill>
                <a:schemeClr val="tx1"/>
              </a:solidFill>
            </a:rPr>
            <a:t>FORMULARIO</a:t>
          </a:r>
        </a:p>
      </xdr:txBody>
    </xdr:sp>
    <xdr:clientData/>
  </xdr:twoCellAnchor>
  <xdr:twoCellAnchor>
    <xdr:from>
      <xdr:col>7</xdr:col>
      <xdr:colOff>333375</xdr:colOff>
      <xdr:row>1</xdr:row>
      <xdr:rowOff>9525</xdr:rowOff>
    </xdr:from>
    <xdr:to>
      <xdr:col>8</xdr:col>
      <xdr:colOff>228600</xdr:colOff>
      <xdr:row>2</xdr:row>
      <xdr:rowOff>9525</xdr:rowOff>
    </xdr:to>
    <xdr:sp macro="[0]!Ocultar_Excel" textlink="">
      <xdr:nvSpPr>
        <xdr:cNvPr id="4" name="Rectángulo: esquinas redondeadas 3">
          <a:extLst>
            <a:ext uri="{FF2B5EF4-FFF2-40B4-BE49-F238E27FC236}">
              <a16:creationId xmlns:a16="http://schemas.microsoft.com/office/drawing/2014/main" id="{DAD2082F-4EEC-448E-B054-F8434A7BCCC0}"/>
            </a:ext>
          </a:extLst>
        </xdr:cNvPr>
        <xdr:cNvSpPr/>
      </xdr:nvSpPr>
      <xdr:spPr>
        <a:xfrm>
          <a:off x="8620125" y="200025"/>
          <a:ext cx="1276350" cy="3524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PE" sz="1400" b="1">
              <a:solidFill>
                <a:schemeClr val="tx1"/>
              </a:solidFill>
            </a:rPr>
            <a:t>OCULTAR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933450</xdr:colOff>
      <xdr:row>0</xdr:row>
      <xdr:rowOff>161925</xdr:rowOff>
    </xdr:from>
    <xdr:to>
      <xdr:col>6</xdr:col>
      <xdr:colOff>209550</xdr:colOff>
      <xdr:row>2</xdr:row>
      <xdr:rowOff>76200</xdr:rowOff>
    </xdr:to>
    <xdr:sp macro="[0]!Filtrardatos" textlink="">
      <xdr:nvSpPr>
        <xdr:cNvPr id="2" name="Rectángulo: esquinas redondeadas 1">
          <a:extLst>
            <a:ext uri="{FF2B5EF4-FFF2-40B4-BE49-F238E27FC236}">
              <a16:creationId xmlns:a16="http://schemas.microsoft.com/office/drawing/2014/main" id="{583DFECA-E00C-C6B5-585B-133A644BF6CE}"/>
            </a:ext>
          </a:extLst>
        </xdr:cNvPr>
        <xdr:cNvSpPr/>
      </xdr:nvSpPr>
      <xdr:spPr>
        <a:xfrm>
          <a:off x="5762625" y="161925"/>
          <a:ext cx="1533525" cy="457200"/>
        </a:xfrm>
        <a:prstGeom prst="roundRect">
          <a:avLst/>
        </a:prstGeom>
        <a:solidFill>
          <a:schemeClr val="accent2">
            <a:lumMod val="50000"/>
          </a:schemeClr>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2000" b="1"/>
            <a:t>FILTRAR</a:t>
          </a:r>
        </a:p>
      </xdr:txBody>
    </xdr:sp>
    <xdr:clientData/>
  </xdr:twoCellAnchor>
  <xdr:twoCellAnchor>
    <xdr:from>
      <xdr:col>6</xdr:col>
      <xdr:colOff>866775</xdr:colOff>
      <xdr:row>0</xdr:row>
      <xdr:rowOff>152400</xdr:rowOff>
    </xdr:from>
    <xdr:to>
      <xdr:col>7</xdr:col>
      <xdr:colOff>1571625</xdr:colOff>
      <xdr:row>2</xdr:row>
      <xdr:rowOff>66675</xdr:rowOff>
    </xdr:to>
    <xdr:sp macro="[0]!BorrarTodo" textlink="">
      <xdr:nvSpPr>
        <xdr:cNvPr id="3" name="Rectángulo: esquinas redondeadas 2">
          <a:extLst>
            <a:ext uri="{FF2B5EF4-FFF2-40B4-BE49-F238E27FC236}">
              <a16:creationId xmlns:a16="http://schemas.microsoft.com/office/drawing/2014/main" id="{B5935CEC-0248-4F62-BF61-6701823C2E5A}"/>
            </a:ext>
          </a:extLst>
        </xdr:cNvPr>
        <xdr:cNvSpPr/>
      </xdr:nvSpPr>
      <xdr:spPr>
        <a:xfrm>
          <a:off x="7953375" y="152400"/>
          <a:ext cx="1743075" cy="457200"/>
        </a:xfrm>
        <a:prstGeom prst="roundRect">
          <a:avLst/>
        </a:prstGeom>
        <a:solidFill>
          <a:srgbClr val="C00000"/>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600" b="1"/>
            <a:t>BORRAR FILTRO</a:t>
          </a:r>
        </a:p>
        <a:p>
          <a:pPr algn="ctr"/>
          <a:endParaRPr lang="es-PE" sz="2000" b="1"/>
        </a:p>
      </xdr:txBody>
    </xdr:sp>
    <xdr:clientData/>
  </xdr:twoCellAnchor>
  <xdr:twoCellAnchor>
    <xdr:from>
      <xdr:col>7</xdr:col>
      <xdr:colOff>2143125</xdr:colOff>
      <xdr:row>0</xdr:row>
      <xdr:rowOff>142875</xdr:rowOff>
    </xdr:from>
    <xdr:to>
      <xdr:col>9</xdr:col>
      <xdr:colOff>633413</xdr:colOff>
      <xdr:row>2</xdr:row>
      <xdr:rowOff>57150</xdr:rowOff>
    </xdr:to>
    <xdr:sp macro="[0]!Exportar_a_PDF" textlink="">
      <xdr:nvSpPr>
        <xdr:cNvPr id="4" name="Rectángulo: esquinas redondeadas 3">
          <a:extLst>
            <a:ext uri="{FF2B5EF4-FFF2-40B4-BE49-F238E27FC236}">
              <a16:creationId xmlns:a16="http://schemas.microsoft.com/office/drawing/2014/main" id="{8FE27280-5B6F-466A-8D71-FC9584930FA1}"/>
            </a:ext>
          </a:extLst>
        </xdr:cNvPr>
        <xdr:cNvSpPr/>
      </xdr:nvSpPr>
      <xdr:spPr>
        <a:xfrm>
          <a:off x="10263188" y="142875"/>
          <a:ext cx="1526381" cy="461963"/>
        </a:xfrm>
        <a:prstGeom prst="roundRect">
          <a:avLst/>
        </a:prstGeom>
        <a:solidFill>
          <a:srgbClr val="FF0000"/>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2000" b="1"/>
            <a:t>PDF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447675</xdr:colOff>
      <xdr:row>7</xdr:row>
      <xdr:rowOff>171450</xdr:rowOff>
    </xdr:from>
    <xdr:to>
      <xdr:col>7</xdr:col>
      <xdr:colOff>428625</xdr:colOff>
      <xdr:row>23</xdr:row>
      <xdr:rowOff>95250</xdr:rowOff>
    </xdr:to>
    <xdr:sp macro="" textlink="">
      <xdr:nvSpPr>
        <xdr:cNvPr id="26" name="Rectángulo: esquinas redondeadas 25">
          <a:extLst>
            <a:ext uri="{FF2B5EF4-FFF2-40B4-BE49-F238E27FC236}">
              <a16:creationId xmlns:a16="http://schemas.microsoft.com/office/drawing/2014/main" id="{C806BB6F-7C0C-1D30-9181-E2808065610C}"/>
            </a:ext>
          </a:extLst>
        </xdr:cNvPr>
        <xdr:cNvSpPr/>
      </xdr:nvSpPr>
      <xdr:spPr>
        <a:xfrm>
          <a:off x="3028950" y="1504950"/>
          <a:ext cx="2266950" cy="29718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671763</xdr:colOff>
      <xdr:row>8</xdr:row>
      <xdr:rowOff>95249</xdr:rowOff>
    </xdr:from>
    <xdr:to>
      <xdr:col>7</xdr:col>
      <xdr:colOff>139667</xdr:colOff>
      <xdr:row>10</xdr:row>
      <xdr:rowOff>142875</xdr:rowOff>
    </xdr:to>
    <xdr:sp macro="" textlink="">
      <xdr:nvSpPr>
        <xdr:cNvPr id="27" name="CuadroTexto 26">
          <a:extLst>
            <a:ext uri="{FF2B5EF4-FFF2-40B4-BE49-F238E27FC236}">
              <a16:creationId xmlns:a16="http://schemas.microsoft.com/office/drawing/2014/main" id="{94A03405-919B-7DF7-2F03-11DEA6A77E23}"/>
            </a:ext>
          </a:extLst>
        </xdr:cNvPr>
        <xdr:cNvSpPr txBox="1"/>
      </xdr:nvSpPr>
      <xdr:spPr>
        <a:xfrm>
          <a:off x="3253038" y="1619249"/>
          <a:ext cx="1753904"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personas segun sexo</a:t>
          </a:r>
        </a:p>
      </xdr:txBody>
    </xdr:sp>
    <xdr:clientData/>
  </xdr:twoCellAnchor>
  <xdr:twoCellAnchor editAs="oneCell">
    <xdr:from>
      <xdr:col>4</xdr:col>
      <xdr:colOff>571499</xdr:colOff>
      <xdr:row>0</xdr:row>
      <xdr:rowOff>61913</xdr:rowOff>
    </xdr:from>
    <xdr:to>
      <xdr:col>8</xdr:col>
      <xdr:colOff>238125</xdr:colOff>
      <xdr:row>3</xdr:row>
      <xdr:rowOff>102413</xdr:rowOff>
    </xdr:to>
    <mc:AlternateContent xmlns:mc="http://schemas.openxmlformats.org/markup-compatibility/2006" xmlns:a14="http://schemas.microsoft.com/office/drawing/2010/main">
      <mc:Choice Requires="a14">
        <xdr:graphicFrame macro="">
          <xdr:nvGraphicFramePr>
            <xdr:cNvPr id="2" name="AÑO">
              <a:extLst>
                <a:ext uri="{FF2B5EF4-FFF2-40B4-BE49-F238E27FC236}">
                  <a16:creationId xmlns:a16="http://schemas.microsoft.com/office/drawing/2014/main" id="{A4014D5C-C6DE-4C3E-9D0F-A9EB5A1728DD}"/>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3148852" y="61913"/>
              <a:ext cx="2714626"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341312</xdr:colOff>
      <xdr:row>0</xdr:row>
      <xdr:rowOff>61913</xdr:rowOff>
    </xdr:from>
    <xdr:to>
      <xdr:col>16</xdr:col>
      <xdr:colOff>55562</xdr:colOff>
      <xdr:row>3</xdr:row>
      <xdr:rowOff>102413</xdr:rowOff>
    </xdr:to>
    <mc:AlternateContent xmlns:mc="http://schemas.openxmlformats.org/markup-compatibility/2006" xmlns:a14="http://schemas.microsoft.com/office/drawing/2010/main">
      <mc:Choice Requires="a14">
        <xdr:graphicFrame macro="">
          <xdr:nvGraphicFramePr>
            <xdr:cNvPr id="3" name="Sede">
              <a:extLst>
                <a:ext uri="{FF2B5EF4-FFF2-40B4-BE49-F238E27FC236}">
                  <a16:creationId xmlns:a16="http://schemas.microsoft.com/office/drawing/2014/main" id="{F2D7D889-33F9-4BB7-BF35-CAA181821BF5}"/>
                </a:ext>
              </a:extLst>
            </xdr:cNvPr>
            <xdr:cNvGraphicFramePr/>
          </xdr:nvGraphicFramePr>
          <xdr:xfrm>
            <a:off x="0" y="0"/>
            <a:ext cx="0" cy="0"/>
          </xdr:xfrm>
          <a:graphic>
            <a:graphicData uri="http://schemas.microsoft.com/office/drawing/2010/slicer">
              <sle:slicer xmlns:sle="http://schemas.microsoft.com/office/drawing/2010/slicer" name="Sede"/>
            </a:graphicData>
          </a:graphic>
        </xdr:graphicFrame>
      </mc:Choice>
      <mc:Fallback xmlns="">
        <xdr:sp macro="" textlink="">
          <xdr:nvSpPr>
            <xdr:cNvPr id="0" name=""/>
            <xdr:cNvSpPr>
              <a:spLocks noTextEdit="1"/>
            </xdr:cNvSpPr>
          </xdr:nvSpPr>
          <xdr:spPr>
            <a:xfrm>
              <a:off x="5966665" y="61913"/>
              <a:ext cx="5810250"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133350</xdr:colOff>
      <xdr:row>3</xdr:row>
      <xdr:rowOff>104775</xdr:rowOff>
    </xdr:from>
    <xdr:to>
      <xdr:col>4</xdr:col>
      <xdr:colOff>28576</xdr:colOff>
      <xdr:row>24</xdr:row>
      <xdr:rowOff>152401</xdr:rowOff>
    </xdr:to>
    <mc:AlternateContent xmlns:mc="http://schemas.openxmlformats.org/markup-compatibility/2006" xmlns:a14="http://schemas.microsoft.com/office/drawing/2010/main">
      <mc:Choice Requires="a14">
        <xdr:graphicFrame macro="">
          <xdr:nvGraphicFramePr>
            <xdr:cNvPr id="4" name="Carrera">
              <a:extLst>
                <a:ext uri="{FF2B5EF4-FFF2-40B4-BE49-F238E27FC236}">
                  <a16:creationId xmlns:a16="http://schemas.microsoft.com/office/drawing/2014/main" id="{FF926AFE-132A-4B8C-A060-7864CBBBACB7}"/>
                </a:ext>
              </a:extLst>
            </xdr:cNvPr>
            <xdr:cNvGraphicFramePr/>
          </xdr:nvGraphicFramePr>
          <xdr:xfrm>
            <a:off x="0" y="0"/>
            <a:ext cx="0" cy="0"/>
          </xdr:xfrm>
          <a:graphic>
            <a:graphicData uri="http://schemas.microsoft.com/office/drawing/2010/slicer">
              <sle:slicer xmlns:sle="http://schemas.microsoft.com/office/drawing/2010/slicer" name="Carrera"/>
            </a:graphicData>
          </a:graphic>
        </xdr:graphicFrame>
      </mc:Choice>
      <mc:Fallback xmlns="">
        <xdr:sp macro="" textlink="">
          <xdr:nvSpPr>
            <xdr:cNvPr id="0" name=""/>
            <xdr:cNvSpPr>
              <a:spLocks noTextEdit="1"/>
            </xdr:cNvSpPr>
          </xdr:nvSpPr>
          <xdr:spPr>
            <a:xfrm>
              <a:off x="133350" y="676275"/>
              <a:ext cx="2472579" cy="4048126"/>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47625</xdr:colOff>
      <xdr:row>0</xdr:row>
      <xdr:rowOff>66675</xdr:rowOff>
    </xdr:from>
    <xdr:to>
      <xdr:col>4</xdr:col>
      <xdr:colOff>381000</xdr:colOff>
      <xdr:row>2</xdr:row>
      <xdr:rowOff>57150</xdr:rowOff>
    </xdr:to>
    <xdr:sp macro="" textlink="">
      <xdr:nvSpPr>
        <xdr:cNvPr id="6" name="Rectángulo: esquinas redondeadas 5">
          <a:extLst>
            <a:ext uri="{FF2B5EF4-FFF2-40B4-BE49-F238E27FC236}">
              <a16:creationId xmlns:a16="http://schemas.microsoft.com/office/drawing/2014/main" id="{1C1C5884-3989-E6E3-950E-E60BA0B13759}"/>
            </a:ext>
          </a:extLst>
        </xdr:cNvPr>
        <xdr:cNvSpPr/>
      </xdr:nvSpPr>
      <xdr:spPr>
        <a:xfrm>
          <a:off x="47625" y="66675"/>
          <a:ext cx="2914650" cy="371475"/>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400" b="1">
              <a:latin typeface="Fira Code" panose="020B0809050000020004" pitchFamily="49" charset="0"/>
              <a:ea typeface="Fira Code" panose="020B0809050000020004" pitchFamily="49" charset="0"/>
              <a:cs typeface="Fira Code" panose="020B0809050000020004" pitchFamily="49" charset="0"/>
            </a:rPr>
            <a:t>HERRAMIENTAS</a:t>
          </a:r>
          <a:r>
            <a:rPr lang="es-PE" sz="1400" b="1" baseline="0">
              <a:latin typeface="Fira Code" panose="020B0809050000020004" pitchFamily="49" charset="0"/>
              <a:ea typeface="Fira Code" panose="020B0809050000020004" pitchFamily="49" charset="0"/>
              <a:cs typeface="Fira Code" panose="020B0809050000020004" pitchFamily="49" charset="0"/>
            </a:rPr>
            <a:t> DE MONITOREO</a:t>
          </a:r>
          <a:endParaRPr lang="es-PE" sz="1400" b="1">
            <a:latin typeface="Fira Code" panose="020B0809050000020004" pitchFamily="49" charset="0"/>
            <a:ea typeface="Fira Code" panose="020B0809050000020004" pitchFamily="49" charset="0"/>
            <a:cs typeface="Fira Code" panose="020B0809050000020004" pitchFamily="49" charset="0"/>
          </a:endParaRPr>
        </a:p>
      </xdr:txBody>
    </xdr:sp>
    <xdr:clientData/>
  </xdr:twoCellAnchor>
  <xdr:twoCellAnchor>
    <xdr:from>
      <xdr:col>4</xdr:col>
      <xdr:colOff>661986</xdr:colOff>
      <xdr:row>10</xdr:row>
      <xdr:rowOff>95250</xdr:rowOff>
    </xdr:from>
    <xdr:to>
      <xdr:col>5</xdr:col>
      <xdr:colOff>655986</xdr:colOff>
      <xdr:row>19</xdr:row>
      <xdr:rowOff>72750</xdr:rowOff>
    </xdr:to>
    <xdr:grpSp>
      <xdr:nvGrpSpPr>
        <xdr:cNvPr id="13" name="Grupo 12">
          <a:extLst>
            <a:ext uri="{FF2B5EF4-FFF2-40B4-BE49-F238E27FC236}">
              <a16:creationId xmlns:a16="http://schemas.microsoft.com/office/drawing/2014/main" id="{C71D4281-8E9D-453B-B0F8-0182881FA869}"/>
            </a:ext>
          </a:extLst>
        </xdr:cNvPr>
        <xdr:cNvGrpSpPr/>
      </xdr:nvGrpSpPr>
      <xdr:grpSpPr>
        <a:xfrm>
          <a:off x="3239339" y="2000250"/>
          <a:ext cx="756000" cy="1692000"/>
          <a:chOff x="13530263" y="90487"/>
          <a:chExt cx="756000" cy="1692000"/>
        </a:xfrm>
      </xdr:grpSpPr>
      <xdr:graphicFrame macro="">
        <xdr:nvGraphicFramePr>
          <xdr:cNvPr id="14" name="Gráfico 13">
            <a:extLst>
              <a:ext uri="{FF2B5EF4-FFF2-40B4-BE49-F238E27FC236}">
                <a16:creationId xmlns:a16="http://schemas.microsoft.com/office/drawing/2014/main" id="{A6ACA8EC-38E3-2711-D84D-3EE0687E6648}"/>
              </a:ext>
            </a:extLst>
          </xdr:cNvPr>
          <xdr:cNvGraphicFramePr/>
        </xdr:nvGraphicFramePr>
        <xdr:xfrm>
          <a:off x="13530263" y="90487"/>
          <a:ext cx="756000" cy="169200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5" name="Imagen 14">
            <a:extLst>
              <a:ext uri="{FF2B5EF4-FFF2-40B4-BE49-F238E27FC236}">
                <a16:creationId xmlns:a16="http://schemas.microsoft.com/office/drawing/2014/main" id="{9540AF93-6795-C851-13B4-45257AC6C8EA}"/>
              </a:ext>
            </a:extLst>
          </xdr:cNvPr>
          <xdr:cNvPicPr>
            <a:picLocks noChangeAspect="1"/>
          </xdr:cNvPicPr>
        </xdr:nvPicPr>
        <xdr:blipFill>
          <a:blip xmlns:r="http://schemas.openxmlformats.org/officeDocument/2006/relationships" r:embed="rId2"/>
          <a:srcRect l="38042" t="17751" r="24617" b="16294"/>
          <a:stretch/>
        </xdr:blipFill>
        <xdr:spPr>
          <a:xfrm>
            <a:off x="13639800" y="201039"/>
            <a:ext cx="540000" cy="1450257"/>
          </a:xfrm>
          <a:prstGeom prst="rect">
            <a:avLst/>
          </a:prstGeom>
        </xdr:spPr>
      </xdr:pic>
    </xdr:grpSp>
    <xdr:clientData/>
  </xdr:twoCellAnchor>
  <xdr:twoCellAnchor>
    <xdr:from>
      <xdr:col>6</xdr:col>
      <xdr:colOff>219075</xdr:colOff>
      <xdr:row>10</xdr:row>
      <xdr:rowOff>95250</xdr:rowOff>
    </xdr:from>
    <xdr:to>
      <xdr:col>7</xdr:col>
      <xdr:colOff>213075</xdr:colOff>
      <xdr:row>19</xdr:row>
      <xdr:rowOff>72750</xdr:rowOff>
    </xdr:to>
    <xdr:grpSp>
      <xdr:nvGrpSpPr>
        <xdr:cNvPr id="16" name="Grupo 15">
          <a:extLst>
            <a:ext uri="{FF2B5EF4-FFF2-40B4-BE49-F238E27FC236}">
              <a16:creationId xmlns:a16="http://schemas.microsoft.com/office/drawing/2014/main" id="{99C020C3-FFC2-4144-82E9-DCB96988504C}"/>
            </a:ext>
          </a:extLst>
        </xdr:cNvPr>
        <xdr:cNvGrpSpPr/>
      </xdr:nvGrpSpPr>
      <xdr:grpSpPr>
        <a:xfrm>
          <a:off x="4320428" y="2000250"/>
          <a:ext cx="756000" cy="1692000"/>
          <a:chOff x="10753727" y="90487"/>
          <a:chExt cx="756000" cy="1692000"/>
        </a:xfrm>
      </xdr:grpSpPr>
      <xdr:graphicFrame macro="">
        <xdr:nvGraphicFramePr>
          <xdr:cNvPr id="17" name="Gráfico 16">
            <a:extLst>
              <a:ext uri="{FF2B5EF4-FFF2-40B4-BE49-F238E27FC236}">
                <a16:creationId xmlns:a16="http://schemas.microsoft.com/office/drawing/2014/main" id="{14C2759E-5DFB-DDD9-11DE-A7F28402949D}"/>
              </a:ext>
            </a:extLst>
          </xdr:cNvPr>
          <xdr:cNvGraphicFramePr/>
        </xdr:nvGraphicFramePr>
        <xdr:xfrm>
          <a:off x="10753727" y="90487"/>
          <a:ext cx="756000" cy="1692000"/>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18" name="Imagen 17">
            <a:extLst>
              <a:ext uri="{FF2B5EF4-FFF2-40B4-BE49-F238E27FC236}">
                <a16:creationId xmlns:a16="http://schemas.microsoft.com/office/drawing/2014/main" id="{EC65B87D-438B-4DFE-CB9E-742B06FB9751}"/>
              </a:ext>
            </a:extLst>
          </xdr:cNvPr>
          <xdr:cNvPicPr>
            <a:picLocks noChangeAspect="1"/>
          </xdr:cNvPicPr>
        </xdr:nvPicPr>
        <xdr:blipFill>
          <a:blip xmlns:r="http://schemas.openxmlformats.org/officeDocument/2006/relationships" r:embed="rId4"/>
          <a:srcRect l="33277" t="19524" r="28382" b="16796"/>
          <a:stretch/>
        </xdr:blipFill>
        <xdr:spPr>
          <a:xfrm>
            <a:off x="10868024" y="209550"/>
            <a:ext cx="552451" cy="1443223"/>
          </a:xfrm>
          <a:prstGeom prst="rect">
            <a:avLst/>
          </a:prstGeom>
        </xdr:spPr>
      </xdr:pic>
    </xdr:grpSp>
    <xdr:clientData/>
  </xdr:twoCellAnchor>
  <xdr:twoCellAnchor>
    <xdr:from>
      <xdr:col>4</xdr:col>
      <xdr:colOff>638176</xdr:colOff>
      <xdr:row>4</xdr:row>
      <xdr:rowOff>57150</xdr:rowOff>
    </xdr:from>
    <xdr:to>
      <xdr:col>7</xdr:col>
      <xdr:colOff>161926</xdr:colOff>
      <xdr:row>7</xdr:row>
      <xdr:rowOff>76200</xdr:rowOff>
    </xdr:to>
    <xdr:sp macro="" textlink="">
      <xdr:nvSpPr>
        <xdr:cNvPr id="19" name="Rectángulo: esquinas redondeadas 18">
          <a:extLst>
            <a:ext uri="{FF2B5EF4-FFF2-40B4-BE49-F238E27FC236}">
              <a16:creationId xmlns:a16="http://schemas.microsoft.com/office/drawing/2014/main" id="{9A51AE13-4933-FC33-CAB9-0905966471EB}"/>
            </a:ext>
          </a:extLst>
        </xdr:cNvPr>
        <xdr:cNvSpPr/>
      </xdr:nvSpPr>
      <xdr:spPr>
        <a:xfrm>
          <a:off x="3219451" y="819150"/>
          <a:ext cx="1809750" cy="590550"/>
        </a:xfrm>
        <a:prstGeom prst="roundRect">
          <a:avLst/>
        </a:prstGeom>
        <a:solidFill>
          <a:schemeClr val="bg1"/>
        </a:solidFill>
        <a:ln w="28575">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31376</xdr:colOff>
      <xdr:row>4</xdr:row>
      <xdr:rowOff>96930</xdr:rowOff>
    </xdr:from>
    <xdr:to>
      <xdr:col>7</xdr:col>
      <xdr:colOff>67235</xdr:colOff>
      <xdr:row>5</xdr:row>
      <xdr:rowOff>179293</xdr:rowOff>
    </xdr:to>
    <xdr:sp macro="" textlink="">
      <xdr:nvSpPr>
        <xdr:cNvPr id="20" name="CuadroTexto 19">
          <a:extLst>
            <a:ext uri="{FF2B5EF4-FFF2-40B4-BE49-F238E27FC236}">
              <a16:creationId xmlns:a16="http://schemas.microsoft.com/office/drawing/2014/main" id="{9BE30574-6F29-1D0C-4EA6-04F1FE77669F}"/>
            </a:ext>
          </a:extLst>
        </xdr:cNvPr>
        <xdr:cNvSpPr txBox="1"/>
      </xdr:nvSpPr>
      <xdr:spPr>
        <a:xfrm>
          <a:off x="3370729" y="858930"/>
          <a:ext cx="1559859" cy="272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t>TOTAL DE ESTUDIANTES</a:t>
          </a:r>
        </a:p>
      </xdr:txBody>
    </xdr:sp>
    <xdr:clientData/>
  </xdr:twoCellAnchor>
  <xdr:twoCellAnchor>
    <xdr:from>
      <xdr:col>5</xdr:col>
      <xdr:colOff>219075</xdr:colOff>
      <xdr:row>5</xdr:row>
      <xdr:rowOff>123825</xdr:rowOff>
    </xdr:from>
    <xdr:to>
      <xdr:col>6</xdr:col>
      <xdr:colOff>571500</xdr:colOff>
      <xdr:row>7</xdr:row>
      <xdr:rowOff>28575</xdr:rowOff>
    </xdr:to>
    <xdr:sp macro="" textlink="CALCULOS!B6">
      <xdr:nvSpPr>
        <xdr:cNvPr id="21" name="CuadroTexto 20">
          <a:extLst>
            <a:ext uri="{FF2B5EF4-FFF2-40B4-BE49-F238E27FC236}">
              <a16:creationId xmlns:a16="http://schemas.microsoft.com/office/drawing/2014/main" id="{F1F50C30-07AD-9EE8-77B6-5D6EBB62122A}"/>
            </a:ext>
          </a:extLst>
        </xdr:cNvPr>
        <xdr:cNvSpPr txBox="1"/>
      </xdr:nvSpPr>
      <xdr:spPr>
        <a:xfrm>
          <a:off x="3562350" y="1076325"/>
          <a:ext cx="11144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2F39A1-BC61-4FF1-B1B7-8E6F5D636CCF}" type="TxLink">
            <a:rPr lang="en-US" sz="1800" b="1" i="0" u="none" strike="noStrike">
              <a:solidFill>
                <a:srgbClr val="000000"/>
              </a:solidFill>
              <a:latin typeface="Aptos Narrow"/>
            </a:rPr>
            <a:pPr algn="ctr"/>
            <a:t>34</a:t>
          </a:fld>
          <a:endParaRPr lang="es-PE" sz="1800" b="1"/>
        </a:p>
      </xdr:txBody>
    </xdr:sp>
    <xdr:clientData/>
  </xdr:twoCellAnchor>
  <xdr:twoCellAnchor>
    <xdr:from>
      <xdr:col>4</xdr:col>
      <xdr:colOff>561976</xdr:colOff>
      <xdr:row>19</xdr:row>
      <xdr:rowOff>47625</xdr:rowOff>
    </xdr:from>
    <xdr:to>
      <xdr:col>6</xdr:col>
      <xdr:colOff>9526</xdr:colOff>
      <xdr:row>22</xdr:row>
      <xdr:rowOff>38100</xdr:rowOff>
    </xdr:to>
    <xdr:sp macro="" textlink="">
      <xdr:nvSpPr>
        <xdr:cNvPr id="23" name="Elipse 22">
          <a:extLst>
            <a:ext uri="{FF2B5EF4-FFF2-40B4-BE49-F238E27FC236}">
              <a16:creationId xmlns:a16="http://schemas.microsoft.com/office/drawing/2014/main" id="{7CACF9AA-AC09-A0C7-12D7-4FC3955E3DF3}"/>
            </a:ext>
          </a:extLst>
        </xdr:cNvPr>
        <xdr:cNvSpPr/>
      </xdr:nvSpPr>
      <xdr:spPr>
        <a:xfrm>
          <a:off x="3143251" y="3667125"/>
          <a:ext cx="971550" cy="561975"/>
        </a:xfrm>
        <a:prstGeom prst="ellipse">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704850</xdr:colOff>
      <xdr:row>19</xdr:row>
      <xdr:rowOff>76200</xdr:rowOff>
    </xdr:from>
    <xdr:to>
      <xdr:col>5</xdr:col>
      <xdr:colOff>704850</xdr:colOff>
      <xdr:row>21</xdr:row>
      <xdr:rowOff>152400</xdr:rowOff>
    </xdr:to>
    <xdr:sp macro="" textlink="CALCULOS!F3">
      <xdr:nvSpPr>
        <xdr:cNvPr id="22" name="CuadroTexto 21">
          <a:extLst>
            <a:ext uri="{FF2B5EF4-FFF2-40B4-BE49-F238E27FC236}">
              <a16:creationId xmlns:a16="http://schemas.microsoft.com/office/drawing/2014/main" id="{E367EB66-632B-F206-7794-D5FFEFB19CE9}"/>
            </a:ext>
          </a:extLst>
        </xdr:cNvPr>
        <xdr:cNvSpPr txBox="1"/>
      </xdr:nvSpPr>
      <xdr:spPr>
        <a:xfrm>
          <a:off x="3286125" y="3695700"/>
          <a:ext cx="7620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0FC94C-86BE-40FA-B935-C6320497EAFF}" type="TxLink">
            <a:rPr lang="en-US" sz="2400" b="1" i="0" u="none" strike="noStrike">
              <a:solidFill>
                <a:srgbClr val="153068"/>
              </a:solidFill>
              <a:latin typeface="Aptos Narrow"/>
            </a:rPr>
            <a:pPr algn="ctr"/>
            <a:t>41%</a:t>
          </a:fld>
          <a:endParaRPr lang="es-PE" sz="2400" b="1">
            <a:solidFill>
              <a:srgbClr val="153068"/>
            </a:solidFill>
          </a:endParaRPr>
        </a:p>
      </xdr:txBody>
    </xdr:sp>
    <xdr:clientData/>
  </xdr:twoCellAnchor>
  <xdr:twoCellAnchor>
    <xdr:from>
      <xdr:col>6</xdr:col>
      <xdr:colOff>133351</xdr:colOff>
      <xdr:row>19</xdr:row>
      <xdr:rowOff>47625</xdr:rowOff>
    </xdr:from>
    <xdr:to>
      <xdr:col>7</xdr:col>
      <xdr:colOff>342901</xdr:colOff>
      <xdr:row>22</xdr:row>
      <xdr:rowOff>38100</xdr:rowOff>
    </xdr:to>
    <xdr:sp macro="" textlink="">
      <xdr:nvSpPr>
        <xdr:cNvPr id="24" name="Elipse 23">
          <a:extLst>
            <a:ext uri="{FF2B5EF4-FFF2-40B4-BE49-F238E27FC236}">
              <a16:creationId xmlns:a16="http://schemas.microsoft.com/office/drawing/2014/main" id="{CF4D1E70-52E3-EC71-63B1-1B465598A5F0}"/>
            </a:ext>
          </a:extLst>
        </xdr:cNvPr>
        <xdr:cNvSpPr/>
      </xdr:nvSpPr>
      <xdr:spPr>
        <a:xfrm>
          <a:off x="4238626" y="3667125"/>
          <a:ext cx="971550" cy="561975"/>
        </a:xfrm>
        <a:prstGeom prst="ellipse">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6</xdr:col>
      <xdr:colOff>276225</xdr:colOff>
      <xdr:row>19</xdr:row>
      <xdr:rowOff>76200</xdr:rowOff>
    </xdr:from>
    <xdr:to>
      <xdr:col>7</xdr:col>
      <xdr:colOff>276225</xdr:colOff>
      <xdr:row>21</xdr:row>
      <xdr:rowOff>152400</xdr:rowOff>
    </xdr:to>
    <xdr:sp macro="" textlink="CALCULOS!F2">
      <xdr:nvSpPr>
        <xdr:cNvPr id="25" name="CuadroTexto 24">
          <a:extLst>
            <a:ext uri="{FF2B5EF4-FFF2-40B4-BE49-F238E27FC236}">
              <a16:creationId xmlns:a16="http://schemas.microsoft.com/office/drawing/2014/main" id="{79C6084D-5F35-9793-4EBF-2E82CE7477BD}"/>
            </a:ext>
          </a:extLst>
        </xdr:cNvPr>
        <xdr:cNvSpPr txBox="1"/>
      </xdr:nvSpPr>
      <xdr:spPr>
        <a:xfrm>
          <a:off x="4381500" y="3695700"/>
          <a:ext cx="7620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47D788-7060-4EA7-89BF-36FB6BF13399}" type="TxLink">
            <a:rPr lang="en-US" sz="2400" b="1" i="0" u="none" strike="noStrike">
              <a:solidFill>
                <a:srgbClr val="47A8C2"/>
              </a:solidFill>
              <a:latin typeface="Aptos Narrow"/>
            </a:rPr>
            <a:pPr algn="ctr"/>
            <a:t>59%</a:t>
          </a:fld>
          <a:endParaRPr lang="es-PE" sz="4800" b="1">
            <a:solidFill>
              <a:srgbClr val="47A8C2"/>
            </a:solidFill>
          </a:endParaRPr>
        </a:p>
      </xdr:txBody>
    </xdr:sp>
    <xdr:clientData/>
  </xdr:twoCellAnchor>
  <xdr:twoCellAnchor editAs="oneCell">
    <xdr:from>
      <xdr:col>16</xdr:col>
      <xdr:colOff>158750</xdr:colOff>
      <xdr:row>0</xdr:row>
      <xdr:rowOff>52918</xdr:rowOff>
    </xdr:from>
    <xdr:to>
      <xdr:col>19</xdr:col>
      <xdr:colOff>649941</xdr:colOff>
      <xdr:row>3</xdr:row>
      <xdr:rowOff>93418</xdr:rowOff>
    </xdr:to>
    <mc:AlternateContent xmlns:mc="http://schemas.openxmlformats.org/markup-compatibility/2006" xmlns:a14="http://schemas.microsoft.com/office/drawing/2010/main">
      <mc:Choice Requires="a14">
        <xdr:graphicFrame macro="">
          <xdr:nvGraphicFramePr>
            <xdr:cNvPr id="28" name="Categoria">
              <a:extLst>
                <a:ext uri="{FF2B5EF4-FFF2-40B4-BE49-F238E27FC236}">
                  <a16:creationId xmlns:a16="http://schemas.microsoft.com/office/drawing/2014/main" id="{1ADEDA4C-3D18-4FBD-A44B-80312E2F3645}"/>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1880103" y="52918"/>
              <a:ext cx="2777191"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7</xdr:col>
      <xdr:colOff>520452</xdr:colOff>
      <xdr:row>6</xdr:row>
      <xdr:rowOff>14942</xdr:rowOff>
    </xdr:from>
    <xdr:to>
      <xdr:col>10</xdr:col>
      <xdr:colOff>54786</xdr:colOff>
      <xdr:row>15</xdr:row>
      <xdr:rowOff>131359</xdr:rowOff>
    </xdr:to>
    <xdr:graphicFrame macro="">
      <xdr:nvGraphicFramePr>
        <xdr:cNvPr id="29" name="Gráfico 28">
          <a:extLst>
            <a:ext uri="{FF2B5EF4-FFF2-40B4-BE49-F238E27FC236}">
              <a16:creationId xmlns:a16="http://schemas.microsoft.com/office/drawing/2014/main" id="{F1D06985-1F56-4671-82AB-5C1F6A24E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72218</xdr:colOff>
      <xdr:row>6</xdr:row>
      <xdr:rowOff>26148</xdr:rowOff>
    </xdr:from>
    <xdr:to>
      <xdr:col>12</xdr:col>
      <xdr:colOff>760134</xdr:colOff>
      <xdr:row>15</xdr:row>
      <xdr:rowOff>131980</xdr:rowOff>
    </xdr:to>
    <xdr:graphicFrame macro="">
      <xdr:nvGraphicFramePr>
        <xdr:cNvPr id="30" name="Gráfico 29">
          <a:extLst>
            <a:ext uri="{FF2B5EF4-FFF2-40B4-BE49-F238E27FC236}">
              <a16:creationId xmlns:a16="http://schemas.microsoft.com/office/drawing/2014/main" id="{17F69A61-94A0-4013-A31C-F01D2D61A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596424</xdr:colOff>
      <xdr:row>15</xdr:row>
      <xdr:rowOff>54228</xdr:rowOff>
    </xdr:from>
    <xdr:to>
      <xdr:col>12</xdr:col>
      <xdr:colOff>258123</xdr:colOff>
      <xdr:row>24</xdr:row>
      <xdr:rowOff>174658</xdr:rowOff>
    </xdr:to>
    <xdr:graphicFrame macro="">
      <xdr:nvGraphicFramePr>
        <xdr:cNvPr id="32" name="Gráfico 31">
          <a:extLst>
            <a:ext uri="{FF2B5EF4-FFF2-40B4-BE49-F238E27FC236}">
              <a16:creationId xmlns:a16="http://schemas.microsoft.com/office/drawing/2014/main" id="{83F06E9F-3896-42AC-86F1-978EFFD002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560294</xdr:colOff>
      <xdr:row>4</xdr:row>
      <xdr:rowOff>42581</xdr:rowOff>
    </xdr:from>
    <xdr:to>
      <xdr:col>10</xdr:col>
      <xdr:colOff>11206</xdr:colOff>
      <xdr:row>13</xdr:row>
      <xdr:rowOff>20081</xdr:rowOff>
    </xdr:to>
    <xdr:sp macro="" textlink="">
      <xdr:nvSpPr>
        <xdr:cNvPr id="36" name="Rectángulo: esquinas redondeadas 35">
          <a:extLst>
            <a:ext uri="{FF2B5EF4-FFF2-40B4-BE49-F238E27FC236}">
              <a16:creationId xmlns:a16="http://schemas.microsoft.com/office/drawing/2014/main" id="{4B5FC15B-9990-4AC6-85D1-EF05E63AFB18}"/>
            </a:ext>
          </a:extLst>
        </xdr:cNvPr>
        <xdr:cNvSpPr/>
      </xdr:nvSpPr>
      <xdr:spPr>
        <a:xfrm>
          <a:off x="5423647" y="804581"/>
          <a:ext cx="1736912"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10</xdr:col>
      <xdr:colOff>298077</xdr:colOff>
      <xdr:row>4</xdr:row>
      <xdr:rowOff>42581</xdr:rowOff>
    </xdr:from>
    <xdr:to>
      <xdr:col>12</xdr:col>
      <xdr:colOff>510989</xdr:colOff>
      <xdr:row>13</xdr:row>
      <xdr:rowOff>20081</xdr:rowOff>
    </xdr:to>
    <xdr:sp macro="" textlink="">
      <xdr:nvSpPr>
        <xdr:cNvPr id="37" name="Rectángulo: esquinas redondeadas 36">
          <a:extLst>
            <a:ext uri="{FF2B5EF4-FFF2-40B4-BE49-F238E27FC236}">
              <a16:creationId xmlns:a16="http://schemas.microsoft.com/office/drawing/2014/main" id="{94D7CCCC-1216-479D-AE9D-E12F8B44E92D}"/>
            </a:ext>
          </a:extLst>
        </xdr:cNvPr>
        <xdr:cNvSpPr/>
      </xdr:nvSpPr>
      <xdr:spPr>
        <a:xfrm>
          <a:off x="7447430" y="804581"/>
          <a:ext cx="1736912"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7</xdr:col>
      <xdr:colOff>537882</xdr:colOff>
      <xdr:row>4</xdr:row>
      <xdr:rowOff>123265</xdr:rowOff>
    </xdr:from>
    <xdr:to>
      <xdr:col>10</xdr:col>
      <xdr:colOff>0</xdr:colOff>
      <xdr:row>7</xdr:row>
      <xdr:rowOff>78441</xdr:rowOff>
    </xdr:to>
    <xdr:sp macro="" textlink="">
      <xdr:nvSpPr>
        <xdr:cNvPr id="38" name="CuadroTexto 37">
          <a:extLst>
            <a:ext uri="{FF2B5EF4-FFF2-40B4-BE49-F238E27FC236}">
              <a16:creationId xmlns:a16="http://schemas.microsoft.com/office/drawing/2014/main" id="{B251370D-5D58-4FB1-B46A-9E87656A40D9}"/>
            </a:ext>
          </a:extLst>
        </xdr:cNvPr>
        <xdr:cNvSpPr txBox="1"/>
      </xdr:nvSpPr>
      <xdr:spPr>
        <a:xfrm>
          <a:off x="5401235" y="885265"/>
          <a:ext cx="1748118"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a:t>
          </a:r>
          <a:r>
            <a:rPr lang="es-PE" sz="1100" b="1" baseline="0">
              <a:solidFill>
                <a:schemeClr val="bg1"/>
              </a:solidFill>
            </a:rPr>
            <a:t> estudiantes </a:t>
          </a:r>
          <a:r>
            <a:rPr lang="es-PE" sz="1100" b="1">
              <a:solidFill>
                <a:schemeClr val="bg1"/>
              </a:solidFill>
            </a:rPr>
            <a:t>con nivel de ingles avanzado</a:t>
          </a:r>
        </a:p>
      </xdr:txBody>
    </xdr:sp>
    <xdr:clientData/>
  </xdr:twoCellAnchor>
  <xdr:twoCellAnchor>
    <xdr:from>
      <xdr:col>10</xdr:col>
      <xdr:colOff>85164</xdr:colOff>
      <xdr:row>4</xdr:row>
      <xdr:rowOff>62754</xdr:rowOff>
    </xdr:from>
    <xdr:to>
      <xdr:col>12</xdr:col>
      <xdr:colOff>728382</xdr:colOff>
      <xdr:row>7</xdr:row>
      <xdr:rowOff>17930</xdr:rowOff>
    </xdr:to>
    <xdr:sp macro="" textlink="">
      <xdr:nvSpPr>
        <xdr:cNvPr id="39" name="CuadroTexto 38">
          <a:extLst>
            <a:ext uri="{FF2B5EF4-FFF2-40B4-BE49-F238E27FC236}">
              <a16:creationId xmlns:a16="http://schemas.microsoft.com/office/drawing/2014/main" id="{7C9B71A7-0604-4490-B76D-65D2411C9AD6}"/>
            </a:ext>
          </a:extLst>
        </xdr:cNvPr>
        <xdr:cNvSpPr txBox="1"/>
      </xdr:nvSpPr>
      <xdr:spPr>
        <a:xfrm>
          <a:off x="7234517" y="824754"/>
          <a:ext cx="2167218"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del</a:t>
          </a:r>
          <a:r>
            <a:rPr lang="es-PE" sz="1100" b="1" baseline="0">
              <a:solidFill>
                <a:schemeClr val="bg1"/>
              </a:solidFill>
            </a:rPr>
            <a:t> grado de satisfaccion</a:t>
          </a:r>
          <a:endParaRPr lang="es-PE" sz="1100" b="1">
            <a:solidFill>
              <a:schemeClr val="bg1"/>
            </a:solidFill>
          </a:endParaRPr>
        </a:p>
      </xdr:txBody>
    </xdr:sp>
    <xdr:clientData/>
  </xdr:twoCellAnchor>
  <xdr:twoCellAnchor>
    <xdr:from>
      <xdr:col>10</xdr:col>
      <xdr:colOff>717177</xdr:colOff>
      <xdr:row>11</xdr:row>
      <xdr:rowOff>33619</xdr:rowOff>
    </xdr:from>
    <xdr:to>
      <xdr:col>12</xdr:col>
      <xdr:colOff>89648</xdr:colOff>
      <xdr:row>12</xdr:row>
      <xdr:rowOff>145678</xdr:rowOff>
    </xdr:to>
    <xdr:sp macro="" textlink="">
      <xdr:nvSpPr>
        <xdr:cNvPr id="40" name="Diagrama de flujo: operación manual 39">
          <a:extLst>
            <a:ext uri="{FF2B5EF4-FFF2-40B4-BE49-F238E27FC236}">
              <a16:creationId xmlns:a16="http://schemas.microsoft.com/office/drawing/2014/main" id="{271C2BBC-69BE-017C-8D34-6CE73B207C7D}"/>
            </a:ext>
          </a:extLst>
        </xdr:cNvPr>
        <xdr:cNvSpPr/>
      </xdr:nvSpPr>
      <xdr:spPr>
        <a:xfrm>
          <a:off x="7866530" y="2129119"/>
          <a:ext cx="896471" cy="302559"/>
        </a:xfrm>
        <a:prstGeom prst="flowChartManualOperation">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11</xdr:col>
      <xdr:colOff>67235</xdr:colOff>
      <xdr:row>11</xdr:row>
      <xdr:rowOff>0</xdr:rowOff>
    </xdr:from>
    <xdr:to>
      <xdr:col>12</xdr:col>
      <xdr:colOff>11206</xdr:colOff>
      <xdr:row>13</xdr:row>
      <xdr:rowOff>11206</xdr:rowOff>
    </xdr:to>
    <xdr:sp macro="" textlink="CALCULOS!$E$24">
      <xdr:nvSpPr>
        <xdr:cNvPr id="41" name="CuadroTexto 40">
          <a:extLst>
            <a:ext uri="{FF2B5EF4-FFF2-40B4-BE49-F238E27FC236}">
              <a16:creationId xmlns:a16="http://schemas.microsoft.com/office/drawing/2014/main" id="{EBC25D90-0606-47C3-9BE3-768D1297834E}"/>
            </a:ext>
          </a:extLst>
        </xdr:cNvPr>
        <xdr:cNvSpPr txBox="1"/>
      </xdr:nvSpPr>
      <xdr:spPr>
        <a:xfrm>
          <a:off x="7978588" y="2095500"/>
          <a:ext cx="70597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D1FE81-2A1D-474B-9B21-A7E2C16B643C}" type="TxLink">
            <a:rPr lang="en-US" sz="1800" b="1" i="0" u="none" strike="noStrike">
              <a:solidFill>
                <a:srgbClr val="C00000"/>
              </a:solidFill>
              <a:latin typeface="Aptos Narrow"/>
            </a:rPr>
            <a:pPr algn="ctr"/>
            <a:t>65%</a:t>
          </a:fld>
          <a:endParaRPr lang="es-PE" sz="1800" b="1">
            <a:solidFill>
              <a:srgbClr val="C00000"/>
            </a:solidFill>
          </a:endParaRPr>
        </a:p>
      </xdr:txBody>
    </xdr:sp>
    <xdr:clientData/>
  </xdr:twoCellAnchor>
  <xdr:twoCellAnchor>
    <xdr:from>
      <xdr:col>8</xdr:col>
      <xdr:colOff>257736</xdr:colOff>
      <xdr:row>11</xdr:row>
      <xdr:rowOff>33619</xdr:rowOff>
    </xdr:from>
    <xdr:to>
      <xdr:col>9</xdr:col>
      <xdr:colOff>392207</xdr:colOff>
      <xdr:row>12</xdr:row>
      <xdr:rowOff>145678</xdr:rowOff>
    </xdr:to>
    <xdr:sp macro="" textlink="">
      <xdr:nvSpPr>
        <xdr:cNvPr id="42" name="Diagrama de flujo: operación manual 41">
          <a:extLst>
            <a:ext uri="{FF2B5EF4-FFF2-40B4-BE49-F238E27FC236}">
              <a16:creationId xmlns:a16="http://schemas.microsoft.com/office/drawing/2014/main" id="{4C54A38A-9CB9-C8BF-3E70-A1163957FA23}"/>
            </a:ext>
          </a:extLst>
        </xdr:cNvPr>
        <xdr:cNvSpPr/>
      </xdr:nvSpPr>
      <xdr:spPr>
        <a:xfrm>
          <a:off x="5883089" y="2129119"/>
          <a:ext cx="896471" cy="302559"/>
        </a:xfrm>
        <a:prstGeom prst="flowChartManualOperation">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8</xdr:col>
      <xdr:colOff>369794</xdr:colOff>
      <xdr:row>11</xdr:row>
      <xdr:rowOff>0</xdr:rowOff>
    </xdr:from>
    <xdr:to>
      <xdr:col>9</xdr:col>
      <xdr:colOff>313765</xdr:colOff>
      <xdr:row>13</xdr:row>
      <xdr:rowOff>11206</xdr:rowOff>
    </xdr:to>
    <xdr:sp macro="" textlink="CALCULOS!$E$13">
      <xdr:nvSpPr>
        <xdr:cNvPr id="43" name="CuadroTexto 42">
          <a:extLst>
            <a:ext uri="{FF2B5EF4-FFF2-40B4-BE49-F238E27FC236}">
              <a16:creationId xmlns:a16="http://schemas.microsoft.com/office/drawing/2014/main" id="{A6D1F730-AE77-EA22-6C50-E051A8FCD0CB}"/>
            </a:ext>
          </a:extLst>
        </xdr:cNvPr>
        <xdr:cNvSpPr txBox="1"/>
      </xdr:nvSpPr>
      <xdr:spPr>
        <a:xfrm>
          <a:off x="5995147" y="2095500"/>
          <a:ext cx="70597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E3482-8D99-4324-9C84-C8949A573D80}" type="TxLink">
            <a:rPr lang="en-US" sz="1800" b="1" i="0" u="none" strike="noStrike">
              <a:solidFill>
                <a:srgbClr val="C00000"/>
              </a:solidFill>
              <a:latin typeface="Aptos Narrow"/>
            </a:rPr>
            <a:pPr algn="ctr"/>
            <a:t>44%</a:t>
          </a:fld>
          <a:endParaRPr lang="es-PE" sz="3200" b="1">
            <a:solidFill>
              <a:srgbClr val="C00000"/>
            </a:solidFill>
          </a:endParaRPr>
        </a:p>
      </xdr:txBody>
    </xdr:sp>
    <xdr:clientData/>
  </xdr:twoCellAnchor>
  <xdr:twoCellAnchor>
    <xdr:from>
      <xdr:col>7</xdr:col>
      <xdr:colOff>560294</xdr:colOff>
      <xdr:row>14</xdr:row>
      <xdr:rowOff>31376</xdr:rowOff>
    </xdr:from>
    <xdr:to>
      <xdr:col>12</xdr:col>
      <xdr:colOff>560293</xdr:colOff>
      <xdr:row>23</xdr:row>
      <xdr:rowOff>116876</xdr:rowOff>
    </xdr:to>
    <xdr:sp macro="" textlink="">
      <xdr:nvSpPr>
        <xdr:cNvPr id="45" name="Rectángulo: esquinas redondeadas 44">
          <a:extLst>
            <a:ext uri="{FF2B5EF4-FFF2-40B4-BE49-F238E27FC236}">
              <a16:creationId xmlns:a16="http://schemas.microsoft.com/office/drawing/2014/main" id="{37F4C113-5299-4A04-835E-BAE29CAC4CBF}"/>
            </a:ext>
          </a:extLst>
        </xdr:cNvPr>
        <xdr:cNvSpPr/>
      </xdr:nvSpPr>
      <xdr:spPr>
        <a:xfrm>
          <a:off x="5423647" y="2698376"/>
          <a:ext cx="3809999"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8</xdr:col>
      <xdr:colOff>44822</xdr:colOff>
      <xdr:row>13</xdr:row>
      <xdr:rowOff>168088</xdr:rowOff>
    </xdr:from>
    <xdr:to>
      <xdr:col>12</xdr:col>
      <xdr:colOff>112057</xdr:colOff>
      <xdr:row>17</xdr:row>
      <xdr:rowOff>0</xdr:rowOff>
    </xdr:to>
    <xdr:sp macro="" textlink="">
      <xdr:nvSpPr>
        <xdr:cNvPr id="46" name="CuadroTexto 45">
          <a:extLst>
            <a:ext uri="{FF2B5EF4-FFF2-40B4-BE49-F238E27FC236}">
              <a16:creationId xmlns:a16="http://schemas.microsoft.com/office/drawing/2014/main" id="{DEF237F7-2A76-43CF-B399-0D9A980BC601}"/>
            </a:ext>
          </a:extLst>
        </xdr:cNvPr>
        <xdr:cNvSpPr txBox="1"/>
      </xdr:nvSpPr>
      <xdr:spPr>
        <a:xfrm>
          <a:off x="5670175" y="2644588"/>
          <a:ext cx="3115235" cy="593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estudiantes</a:t>
          </a:r>
          <a:r>
            <a:rPr lang="es-PE" sz="1100" b="1" baseline="0">
              <a:solidFill>
                <a:schemeClr val="bg1"/>
              </a:solidFill>
            </a:rPr>
            <a:t> solteros</a:t>
          </a:r>
          <a:endParaRPr lang="es-PE" sz="1100" b="1">
            <a:solidFill>
              <a:schemeClr val="bg1"/>
            </a:solidFill>
          </a:endParaRPr>
        </a:p>
      </xdr:txBody>
    </xdr:sp>
    <xdr:clientData/>
  </xdr:twoCellAnchor>
  <xdr:twoCellAnchor>
    <xdr:from>
      <xdr:col>9</xdr:col>
      <xdr:colOff>403411</xdr:colOff>
      <xdr:row>20</xdr:row>
      <xdr:rowOff>123263</xdr:rowOff>
    </xdr:from>
    <xdr:to>
      <xdr:col>10</xdr:col>
      <xdr:colOff>593911</xdr:colOff>
      <xdr:row>23</xdr:row>
      <xdr:rowOff>168086</xdr:rowOff>
    </xdr:to>
    <xdr:sp macro="" textlink="CALCULOS!$E$36">
      <xdr:nvSpPr>
        <xdr:cNvPr id="47" name="CuadroTexto 46">
          <a:extLst>
            <a:ext uri="{FF2B5EF4-FFF2-40B4-BE49-F238E27FC236}">
              <a16:creationId xmlns:a16="http://schemas.microsoft.com/office/drawing/2014/main" id="{964C15FA-BF73-667E-3324-6B9852903474}"/>
            </a:ext>
          </a:extLst>
        </xdr:cNvPr>
        <xdr:cNvSpPr txBox="1"/>
      </xdr:nvSpPr>
      <xdr:spPr>
        <a:xfrm>
          <a:off x="6790764" y="3933263"/>
          <a:ext cx="952500" cy="616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8D9E3B-7C16-487A-B316-E525B91B248B}" type="TxLink">
            <a:rPr lang="en-US" sz="2800" b="1" i="0" u="none" strike="noStrike">
              <a:solidFill>
                <a:schemeClr val="bg1"/>
              </a:solidFill>
              <a:latin typeface="Aptos Narrow"/>
            </a:rPr>
            <a:pPr algn="ctr"/>
            <a:t>68%</a:t>
          </a:fld>
          <a:endParaRPr lang="es-PE" sz="2800" b="1">
            <a:solidFill>
              <a:schemeClr val="bg1"/>
            </a:solidFill>
          </a:endParaRPr>
        </a:p>
      </xdr:txBody>
    </xdr:sp>
    <xdr:clientData/>
  </xdr:twoCellAnchor>
  <xdr:twoCellAnchor>
    <xdr:from>
      <xdr:col>13</xdr:col>
      <xdr:colOff>11207</xdr:colOff>
      <xdr:row>4</xdr:row>
      <xdr:rowOff>33618</xdr:rowOff>
    </xdr:from>
    <xdr:to>
      <xdr:col>19</xdr:col>
      <xdr:colOff>616323</xdr:colOff>
      <xdr:row>13</xdr:row>
      <xdr:rowOff>11118</xdr:rowOff>
    </xdr:to>
    <xdr:sp macro="" textlink="">
      <xdr:nvSpPr>
        <xdr:cNvPr id="48" name="Rectángulo: esquinas redondeadas 47">
          <a:extLst>
            <a:ext uri="{FF2B5EF4-FFF2-40B4-BE49-F238E27FC236}">
              <a16:creationId xmlns:a16="http://schemas.microsoft.com/office/drawing/2014/main" id="{8434485B-2819-4B36-8531-F71132A1D252}"/>
            </a:ext>
          </a:extLst>
        </xdr:cNvPr>
        <xdr:cNvSpPr/>
      </xdr:nvSpPr>
      <xdr:spPr>
        <a:xfrm>
          <a:off x="9446560" y="795618"/>
          <a:ext cx="5177116"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13</xdr:col>
      <xdr:colOff>51548</xdr:colOff>
      <xdr:row>14</xdr:row>
      <xdr:rowOff>31376</xdr:rowOff>
    </xdr:from>
    <xdr:to>
      <xdr:col>16</xdr:col>
      <xdr:colOff>302559</xdr:colOff>
      <xdr:row>23</xdr:row>
      <xdr:rowOff>116876</xdr:rowOff>
    </xdr:to>
    <xdr:sp macro="" textlink="">
      <xdr:nvSpPr>
        <xdr:cNvPr id="49" name="Rectángulo: esquinas redondeadas 48">
          <a:extLst>
            <a:ext uri="{FF2B5EF4-FFF2-40B4-BE49-F238E27FC236}">
              <a16:creationId xmlns:a16="http://schemas.microsoft.com/office/drawing/2014/main" id="{7049B23A-3406-454F-8492-5320C4D9D92C}"/>
            </a:ext>
          </a:extLst>
        </xdr:cNvPr>
        <xdr:cNvSpPr/>
      </xdr:nvSpPr>
      <xdr:spPr>
        <a:xfrm>
          <a:off x="9486901" y="2698376"/>
          <a:ext cx="2537011"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16</xdr:col>
      <xdr:colOff>410136</xdr:colOff>
      <xdr:row>14</xdr:row>
      <xdr:rowOff>31376</xdr:rowOff>
    </xdr:from>
    <xdr:to>
      <xdr:col>19</xdr:col>
      <xdr:colOff>661147</xdr:colOff>
      <xdr:row>23</xdr:row>
      <xdr:rowOff>116876</xdr:rowOff>
    </xdr:to>
    <xdr:sp macro="" textlink="">
      <xdr:nvSpPr>
        <xdr:cNvPr id="50" name="Rectángulo: esquinas redondeadas 49">
          <a:extLst>
            <a:ext uri="{FF2B5EF4-FFF2-40B4-BE49-F238E27FC236}">
              <a16:creationId xmlns:a16="http://schemas.microsoft.com/office/drawing/2014/main" id="{B30D229C-989E-3568-1221-213D33822AFB}"/>
            </a:ext>
          </a:extLst>
        </xdr:cNvPr>
        <xdr:cNvSpPr/>
      </xdr:nvSpPr>
      <xdr:spPr>
        <a:xfrm>
          <a:off x="12131489" y="2698376"/>
          <a:ext cx="2537011"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12</xdr:col>
      <xdr:colOff>739589</xdr:colOff>
      <xdr:row>5</xdr:row>
      <xdr:rowOff>134470</xdr:rowOff>
    </xdr:from>
    <xdr:to>
      <xdr:col>20</xdr:col>
      <xdr:colOff>134471</xdr:colOff>
      <xdr:row>12</xdr:row>
      <xdr:rowOff>95649</xdr:rowOff>
    </xdr:to>
    <xdr:graphicFrame macro="">
      <xdr:nvGraphicFramePr>
        <xdr:cNvPr id="51" name="Gráfico 50">
          <a:extLst>
            <a:ext uri="{FF2B5EF4-FFF2-40B4-BE49-F238E27FC236}">
              <a16:creationId xmlns:a16="http://schemas.microsoft.com/office/drawing/2014/main" id="{DDD086DD-0B46-4CC8-BDF4-3CA45C118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381000</xdr:colOff>
      <xdr:row>3</xdr:row>
      <xdr:rowOff>168088</xdr:rowOff>
    </xdr:from>
    <xdr:to>
      <xdr:col>18</xdr:col>
      <xdr:colOff>705970</xdr:colOff>
      <xdr:row>6</xdr:row>
      <xdr:rowOff>123264</xdr:rowOff>
    </xdr:to>
    <xdr:sp macro="" textlink="">
      <xdr:nvSpPr>
        <xdr:cNvPr id="52" name="CuadroTexto 51">
          <a:extLst>
            <a:ext uri="{FF2B5EF4-FFF2-40B4-BE49-F238E27FC236}">
              <a16:creationId xmlns:a16="http://schemas.microsoft.com/office/drawing/2014/main" id="{330D7968-7027-47D1-9DFD-7C8DA89D5B72}"/>
            </a:ext>
          </a:extLst>
        </xdr:cNvPr>
        <xdr:cNvSpPr txBox="1"/>
      </xdr:nvSpPr>
      <xdr:spPr>
        <a:xfrm>
          <a:off x="9816353" y="739588"/>
          <a:ext cx="4134970"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a:t>
          </a:r>
          <a:r>
            <a:rPr lang="es-PE" sz="1100" b="1" baseline="0">
              <a:solidFill>
                <a:schemeClr val="bg1"/>
              </a:solidFill>
            </a:rPr>
            <a:t> de estudiantes provenientes de escuelas privadas</a:t>
          </a:r>
          <a:endParaRPr lang="es-PE" sz="1100" b="1">
            <a:solidFill>
              <a:schemeClr val="bg1"/>
            </a:solidFill>
          </a:endParaRPr>
        </a:p>
      </xdr:txBody>
    </xdr:sp>
    <xdr:clientData/>
  </xdr:twoCellAnchor>
  <xdr:twoCellAnchor>
    <xdr:from>
      <xdr:col>14</xdr:col>
      <xdr:colOff>694766</xdr:colOff>
      <xdr:row>15</xdr:row>
      <xdr:rowOff>61953</xdr:rowOff>
    </xdr:from>
    <xdr:to>
      <xdr:col>16</xdr:col>
      <xdr:colOff>134472</xdr:colOff>
      <xdr:row>22</xdr:row>
      <xdr:rowOff>112059</xdr:rowOff>
    </xdr:to>
    <xdr:graphicFrame macro="">
      <xdr:nvGraphicFramePr>
        <xdr:cNvPr id="53" name="Gráfico 52">
          <a:extLst>
            <a:ext uri="{FF2B5EF4-FFF2-40B4-BE49-F238E27FC236}">
              <a16:creationId xmlns:a16="http://schemas.microsoft.com/office/drawing/2014/main" id="{F8A5DC37-C96E-4BB1-8158-4C693A94B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16093</xdr:colOff>
      <xdr:row>14</xdr:row>
      <xdr:rowOff>112060</xdr:rowOff>
    </xdr:from>
    <xdr:to>
      <xdr:col>16</xdr:col>
      <xdr:colOff>56031</xdr:colOff>
      <xdr:row>22</xdr:row>
      <xdr:rowOff>134472</xdr:rowOff>
    </xdr:to>
    <xdr:grpSp>
      <xdr:nvGrpSpPr>
        <xdr:cNvPr id="54" name="Grupo 53">
          <a:extLst>
            <a:ext uri="{FF2B5EF4-FFF2-40B4-BE49-F238E27FC236}">
              <a16:creationId xmlns:a16="http://schemas.microsoft.com/office/drawing/2014/main" id="{74C48BEF-B01F-47EF-BAC5-B22DB314A0EC}"/>
            </a:ext>
          </a:extLst>
        </xdr:cNvPr>
        <xdr:cNvGrpSpPr/>
      </xdr:nvGrpSpPr>
      <xdr:grpSpPr>
        <a:xfrm>
          <a:off x="10975446" y="2779060"/>
          <a:ext cx="801938" cy="1546412"/>
          <a:chOff x="5236029" y="12668250"/>
          <a:chExt cx="1800000" cy="3388181"/>
        </a:xfrm>
      </xdr:grpSpPr>
      <xdr:sp macro="" textlink="">
        <xdr:nvSpPr>
          <xdr:cNvPr id="55" name="Rectángulo 54">
            <a:extLst>
              <a:ext uri="{FF2B5EF4-FFF2-40B4-BE49-F238E27FC236}">
                <a16:creationId xmlns:a16="http://schemas.microsoft.com/office/drawing/2014/main" id="{CC14645B-49D8-8C95-E3BA-4A4096E348E0}"/>
              </a:ext>
            </a:extLst>
          </xdr:cNvPr>
          <xdr:cNvSpPr/>
        </xdr:nvSpPr>
        <xdr:spPr>
          <a:xfrm>
            <a:off x="5236029" y="13193486"/>
            <a:ext cx="1800000" cy="2544535"/>
          </a:xfrm>
          <a:prstGeom prst="rect">
            <a:avLst/>
          </a:prstGeom>
          <a:gradFill flip="none" rotWithShape="1">
            <a:gsLst>
              <a:gs pos="0">
                <a:schemeClr val="accent1">
                  <a:lumMod val="5000"/>
                  <a:lumOff val="95000"/>
                  <a:alpha val="50000"/>
                </a:schemeClr>
              </a:gs>
              <a:gs pos="74000">
                <a:schemeClr val="bg1">
                  <a:lumMod val="75000"/>
                  <a:alpha val="50000"/>
                </a:schemeClr>
              </a:gs>
              <a:gs pos="83000">
                <a:schemeClr val="tx1">
                  <a:lumMod val="50000"/>
                  <a:lumOff val="50000"/>
                  <a:alpha val="50000"/>
                </a:schemeClr>
              </a:gs>
              <a:gs pos="100000">
                <a:schemeClr val="bg1">
                  <a:lumMod val="85000"/>
                  <a:alpha val="50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6" name="Rectángulo 55">
            <a:extLst>
              <a:ext uri="{FF2B5EF4-FFF2-40B4-BE49-F238E27FC236}">
                <a16:creationId xmlns:a16="http://schemas.microsoft.com/office/drawing/2014/main" id="{005FFCDE-9E10-832B-5226-D3DF65206876}"/>
              </a:ext>
            </a:extLst>
          </xdr:cNvPr>
          <xdr:cNvSpPr/>
        </xdr:nvSpPr>
        <xdr:spPr>
          <a:xfrm>
            <a:off x="5236029" y="12940395"/>
            <a:ext cx="1800000" cy="244928"/>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7" name="Rectángulo 56">
            <a:extLst>
              <a:ext uri="{FF2B5EF4-FFF2-40B4-BE49-F238E27FC236}">
                <a16:creationId xmlns:a16="http://schemas.microsoft.com/office/drawing/2014/main" id="{6B8C99C8-E736-30C0-DF7B-B5C0CFE9422F}"/>
              </a:ext>
            </a:extLst>
          </xdr:cNvPr>
          <xdr:cNvSpPr/>
        </xdr:nvSpPr>
        <xdr:spPr>
          <a:xfrm>
            <a:off x="5236029" y="15776125"/>
            <a:ext cx="1800000" cy="280306"/>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8" name="Rectángulo 57">
            <a:extLst>
              <a:ext uri="{FF2B5EF4-FFF2-40B4-BE49-F238E27FC236}">
                <a16:creationId xmlns:a16="http://schemas.microsoft.com/office/drawing/2014/main" id="{CC5BC62C-33B1-10A4-393E-478DB946CEBC}"/>
              </a:ext>
            </a:extLst>
          </xdr:cNvPr>
          <xdr:cNvSpPr/>
        </xdr:nvSpPr>
        <xdr:spPr>
          <a:xfrm>
            <a:off x="5776029" y="12668250"/>
            <a:ext cx="720000" cy="247650"/>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twoCellAnchor>
    <xdr:from>
      <xdr:col>13</xdr:col>
      <xdr:colOff>100855</xdr:colOff>
      <xdr:row>14</xdr:row>
      <xdr:rowOff>78440</xdr:rowOff>
    </xdr:from>
    <xdr:to>
      <xdr:col>14</xdr:col>
      <xdr:colOff>728383</xdr:colOff>
      <xdr:row>18</xdr:row>
      <xdr:rowOff>156881</xdr:rowOff>
    </xdr:to>
    <xdr:sp macro="" textlink="">
      <xdr:nvSpPr>
        <xdr:cNvPr id="59" name="CuadroTexto 58">
          <a:extLst>
            <a:ext uri="{FF2B5EF4-FFF2-40B4-BE49-F238E27FC236}">
              <a16:creationId xmlns:a16="http://schemas.microsoft.com/office/drawing/2014/main" id="{259A6E95-B0A3-400A-B170-B799514F4EDB}"/>
            </a:ext>
          </a:extLst>
        </xdr:cNvPr>
        <xdr:cNvSpPr txBox="1"/>
      </xdr:nvSpPr>
      <xdr:spPr>
        <a:xfrm>
          <a:off x="9536208" y="2745440"/>
          <a:ext cx="1389528" cy="84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estudiantes</a:t>
          </a:r>
          <a:r>
            <a:rPr lang="es-PE" sz="1100" b="1" baseline="0">
              <a:solidFill>
                <a:schemeClr val="bg1"/>
              </a:solidFill>
            </a:rPr>
            <a:t> con una discapacidad</a:t>
          </a:r>
          <a:endParaRPr lang="es-PE" sz="1100" b="1">
            <a:solidFill>
              <a:schemeClr val="bg1"/>
            </a:solidFill>
          </a:endParaRPr>
        </a:p>
      </xdr:txBody>
    </xdr:sp>
    <xdr:clientData/>
  </xdr:twoCellAnchor>
  <xdr:twoCellAnchor>
    <xdr:from>
      <xdr:col>13</xdr:col>
      <xdr:colOff>369794</xdr:colOff>
      <xdr:row>18</xdr:row>
      <xdr:rowOff>179295</xdr:rowOff>
    </xdr:from>
    <xdr:to>
      <xdr:col>14</xdr:col>
      <xdr:colOff>560294</xdr:colOff>
      <xdr:row>22</xdr:row>
      <xdr:rowOff>33618</xdr:rowOff>
    </xdr:to>
    <xdr:sp macro="" textlink="CALCULOS!D67">
      <xdr:nvSpPr>
        <xdr:cNvPr id="60" name="CuadroTexto 59">
          <a:extLst>
            <a:ext uri="{FF2B5EF4-FFF2-40B4-BE49-F238E27FC236}">
              <a16:creationId xmlns:a16="http://schemas.microsoft.com/office/drawing/2014/main" id="{59160F6B-91A9-45D5-85C4-6E384DF8116C}"/>
            </a:ext>
          </a:extLst>
        </xdr:cNvPr>
        <xdr:cNvSpPr txBox="1"/>
      </xdr:nvSpPr>
      <xdr:spPr>
        <a:xfrm>
          <a:off x="9805147" y="3608295"/>
          <a:ext cx="952500" cy="616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B44B09-6A24-4A19-86DD-240A8A5D0671}" type="TxLink">
            <a:rPr lang="en-US" sz="3200" b="1" i="0" u="none" strike="noStrike">
              <a:solidFill>
                <a:schemeClr val="bg1"/>
              </a:solidFill>
              <a:latin typeface="Aptos Narrow"/>
            </a:rPr>
            <a:pPr algn="ctr"/>
            <a:t>21%</a:t>
          </a:fld>
          <a:endParaRPr lang="es-PE" sz="6600" b="1">
            <a:solidFill>
              <a:schemeClr val="bg1"/>
            </a:solidFill>
          </a:endParaRPr>
        </a:p>
      </xdr:txBody>
    </xdr:sp>
    <xdr:clientData/>
  </xdr:twoCellAnchor>
  <xdr:twoCellAnchor>
    <xdr:from>
      <xdr:col>16</xdr:col>
      <xdr:colOff>145677</xdr:colOff>
      <xdr:row>14</xdr:row>
      <xdr:rowOff>123265</xdr:rowOff>
    </xdr:from>
    <xdr:to>
      <xdr:col>20</xdr:col>
      <xdr:colOff>212912</xdr:colOff>
      <xdr:row>17</xdr:row>
      <xdr:rowOff>145677</xdr:rowOff>
    </xdr:to>
    <xdr:sp macro="" textlink="">
      <xdr:nvSpPr>
        <xdr:cNvPr id="61" name="CuadroTexto 60">
          <a:extLst>
            <a:ext uri="{FF2B5EF4-FFF2-40B4-BE49-F238E27FC236}">
              <a16:creationId xmlns:a16="http://schemas.microsoft.com/office/drawing/2014/main" id="{47D226EF-9248-435A-9BBD-3B269890AE45}"/>
            </a:ext>
          </a:extLst>
        </xdr:cNvPr>
        <xdr:cNvSpPr txBox="1"/>
      </xdr:nvSpPr>
      <xdr:spPr>
        <a:xfrm>
          <a:off x="11867030" y="2790265"/>
          <a:ext cx="3115235" cy="593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bg1"/>
              </a:solidFill>
            </a:rPr>
            <a:t>Ingresos totales </a:t>
          </a:r>
        </a:p>
      </xdr:txBody>
    </xdr:sp>
    <xdr:clientData/>
  </xdr:twoCellAnchor>
  <xdr:twoCellAnchor>
    <xdr:from>
      <xdr:col>16</xdr:col>
      <xdr:colOff>661147</xdr:colOff>
      <xdr:row>16</xdr:row>
      <xdr:rowOff>168088</xdr:rowOff>
    </xdr:from>
    <xdr:to>
      <xdr:col>19</xdr:col>
      <xdr:colOff>425823</xdr:colOff>
      <xdr:row>20</xdr:row>
      <xdr:rowOff>179293</xdr:rowOff>
    </xdr:to>
    <xdr:sp macro="" textlink="CALCULOS!C92">
      <xdr:nvSpPr>
        <xdr:cNvPr id="62" name="CuadroTexto 61">
          <a:extLst>
            <a:ext uri="{FF2B5EF4-FFF2-40B4-BE49-F238E27FC236}">
              <a16:creationId xmlns:a16="http://schemas.microsoft.com/office/drawing/2014/main" id="{A1383C92-3027-4903-A93C-154C1E841B9D}"/>
            </a:ext>
          </a:extLst>
        </xdr:cNvPr>
        <xdr:cNvSpPr txBox="1"/>
      </xdr:nvSpPr>
      <xdr:spPr>
        <a:xfrm>
          <a:off x="12382500" y="3216088"/>
          <a:ext cx="2050676" cy="773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3A84FD-9AE4-40CD-AA19-BACB22F91066}" type="TxLink">
            <a:rPr lang="en-US" sz="2400" b="0" i="0" u="none" strike="noStrike">
              <a:solidFill>
                <a:schemeClr val="bg1"/>
              </a:solidFill>
              <a:latin typeface="Aptos Narrow"/>
            </a:rPr>
            <a:pPr algn="ctr"/>
            <a:t>S/ 85,200.00</a:t>
          </a:fld>
          <a:endParaRPr lang="en-US" sz="2400" b="1" i="0" u="none" strike="noStrike">
            <a:solidFill>
              <a:schemeClr val="bg1"/>
            </a:solidFill>
            <a:latin typeface="Aptos Narrow"/>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109538</xdr:colOff>
      <xdr:row>0</xdr:row>
      <xdr:rowOff>42862</xdr:rowOff>
    </xdr:from>
    <xdr:to>
      <xdr:col>8</xdr:col>
      <xdr:colOff>865538</xdr:colOff>
      <xdr:row>9</xdr:row>
      <xdr:rowOff>20362</xdr:rowOff>
    </xdr:to>
    <xdr:grpSp>
      <xdr:nvGrpSpPr>
        <xdr:cNvPr id="13" name="Grupo 12">
          <a:extLst>
            <a:ext uri="{FF2B5EF4-FFF2-40B4-BE49-F238E27FC236}">
              <a16:creationId xmlns:a16="http://schemas.microsoft.com/office/drawing/2014/main" id="{06FF00C4-430A-13B3-E87C-0902BD4C03EF}"/>
            </a:ext>
          </a:extLst>
        </xdr:cNvPr>
        <xdr:cNvGrpSpPr/>
      </xdr:nvGrpSpPr>
      <xdr:grpSpPr>
        <a:xfrm>
          <a:off x="12818609" y="42862"/>
          <a:ext cx="756000" cy="1692000"/>
          <a:chOff x="13530263" y="90487"/>
          <a:chExt cx="756000" cy="1692000"/>
        </a:xfrm>
      </xdr:grpSpPr>
      <xdr:graphicFrame macro="">
        <xdr:nvGraphicFramePr>
          <xdr:cNvPr id="4" name="Gráfico 3">
            <a:extLst>
              <a:ext uri="{FF2B5EF4-FFF2-40B4-BE49-F238E27FC236}">
                <a16:creationId xmlns:a16="http://schemas.microsoft.com/office/drawing/2014/main" id="{2F31A659-9696-2815-7B17-0C2D6702DC5B}"/>
              </a:ext>
            </a:extLst>
          </xdr:cNvPr>
          <xdr:cNvGraphicFramePr/>
        </xdr:nvGraphicFramePr>
        <xdr:xfrm>
          <a:off x="13530263" y="90487"/>
          <a:ext cx="756000" cy="169200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1" name="Imagen 10">
            <a:extLst>
              <a:ext uri="{FF2B5EF4-FFF2-40B4-BE49-F238E27FC236}">
                <a16:creationId xmlns:a16="http://schemas.microsoft.com/office/drawing/2014/main" id="{8C4C3774-AC82-5348-6C58-38589B76B8AB}"/>
              </a:ext>
            </a:extLst>
          </xdr:cNvPr>
          <xdr:cNvPicPr>
            <a:picLocks noChangeAspect="1"/>
          </xdr:cNvPicPr>
        </xdr:nvPicPr>
        <xdr:blipFill>
          <a:blip xmlns:r="http://schemas.openxmlformats.org/officeDocument/2006/relationships" r:embed="rId2"/>
          <a:srcRect l="38042" t="17751" r="24617" b="16294"/>
          <a:stretch/>
        </xdr:blipFill>
        <xdr:spPr>
          <a:xfrm>
            <a:off x="13639800" y="201039"/>
            <a:ext cx="540000" cy="1450257"/>
          </a:xfrm>
          <a:prstGeom prst="rect">
            <a:avLst/>
          </a:prstGeom>
        </xdr:spPr>
      </xdr:pic>
    </xdr:grpSp>
    <xdr:clientData/>
  </xdr:twoCellAnchor>
  <xdr:twoCellAnchor>
    <xdr:from>
      <xdr:col>7</xdr:col>
      <xdr:colOff>714377</xdr:colOff>
      <xdr:row>0</xdr:row>
      <xdr:rowOff>42862</xdr:rowOff>
    </xdr:from>
    <xdr:to>
      <xdr:col>7</xdr:col>
      <xdr:colOff>1470377</xdr:colOff>
      <xdr:row>9</xdr:row>
      <xdr:rowOff>20362</xdr:rowOff>
    </xdr:to>
    <xdr:grpSp>
      <xdr:nvGrpSpPr>
        <xdr:cNvPr id="14" name="Grupo 13">
          <a:extLst>
            <a:ext uri="{FF2B5EF4-FFF2-40B4-BE49-F238E27FC236}">
              <a16:creationId xmlns:a16="http://schemas.microsoft.com/office/drawing/2014/main" id="{4F2E8FEA-8BC6-206E-4809-900B3B0A8613}"/>
            </a:ext>
          </a:extLst>
        </xdr:cNvPr>
        <xdr:cNvGrpSpPr/>
      </xdr:nvGrpSpPr>
      <xdr:grpSpPr>
        <a:xfrm>
          <a:off x="11899448" y="42862"/>
          <a:ext cx="756000" cy="1692000"/>
          <a:chOff x="10753727" y="90487"/>
          <a:chExt cx="756000" cy="1692000"/>
        </a:xfrm>
      </xdr:grpSpPr>
      <xdr:graphicFrame macro="">
        <xdr:nvGraphicFramePr>
          <xdr:cNvPr id="3" name="Gráfico 2">
            <a:extLst>
              <a:ext uri="{FF2B5EF4-FFF2-40B4-BE49-F238E27FC236}">
                <a16:creationId xmlns:a16="http://schemas.microsoft.com/office/drawing/2014/main" id="{463A7C47-4B1C-2370-F3D7-A69E21CEA6F0}"/>
              </a:ext>
            </a:extLst>
          </xdr:cNvPr>
          <xdr:cNvGraphicFramePr/>
        </xdr:nvGraphicFramePr>
        <xdr:xfrm>
          <a:off x="10753727" y="90487"/>
          <a:ext cx="756000" cy="1692000"/>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12" name="Imagen 11">
            <a:extLst>
              <a:ext uri="{FF2B5EF4-FFF2-40B4-BE49-F238E27FC236}">
                <a16:creationId xmlns:a16="http://schemas.microsoft.com/office/drawing/2014/main" id="{027DACD4-24A0-A09C-481A-A037790F18D3}"/>
              </a:ext>
            </a:extLst>
          </xdr:cNvPr>
          <xdr:cNvPicPr>
            <a:picLocks noChangeAspect="1"/>
          </xdr:cNvPicPr>
        </xdr:nvPicPr>
        <xdr:blipFill>
          <a:blip xmlns:r="http://schemas.openxmlformats.org/officeDocument/2006/relationships" r:embed="rId4"/>
          <a:srcRect l="33277" t="19524" r="28382" b="16796"/>
          <a:stretch/>
        </xdr:blipFill>
        <xdr:spPr>
          <a:xfrm>
            <a:off x="10868024" y="209550"/>
            <a:ext cx="552451" cy="1443223"/>
          </a:xfrm>
          <a:prstGeom prst="rect">
            <a:avLst/>
          </a:prstGeom>
        </xdr:spPr>
      </xdr:pic>
    </xdr:grpSp>
    <xdr:clientData/>
  </xdr:twoCellAnchor>
  <xdr:twoCellAnchor>
    <xdr:from>
      <xdr:col>5</xdr:col>
      <xdr:colOff>202596</xdr:colOff>
      <xdr:row>5</xdr:row>
      <xdr:rowOff>88146</xdr:rowOff>
    </xdr:from>
    <xdr:to>
      <xdr:col>6</xdr:col>
      <xdr:colOff>598715</xdr:colOff>
      <xdr:row>15</xdr:row>
      <xdr:rowOff>122464</xdr:rowOff>
    </xdr:to>
    <xdr:graphicFrame macro="">
      <xdr:nvGraphicFramePr>
        <xdr:cNvPr id="16" name="Gráfico 15">
          <a:extLst>
            <a:ext uri="{FF2B5EF4-FFF2-40B4-BE49-F238E27FC236}">
              <a16:creationId xmlns:a16="http://schemas.microsoft.com/office/drawing/2014/main" id="{6791BC3B-676D-D60E-04F8-50BD6B8A4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210910</xdr:colOff>
      <xdr:row>17</xdr:row>
      <xdr:rowOff>97972</xdr:rowOff>
    </xdr:from>
    <xdr:to>
      <xdr:col>7</xdr:col>
      <xdr:colOff>81643</xdr:colOff>
      <xdr:row>29</xdr:row>
      <xdr:rowOff>136073</xdr:rowOff>
    </xdr:to>
    <xdr:graphicFrame macro="">
      <xdr:nvGraphicFramePr>
        <xdr:cNvPr id="18" name="Gráfico 17">
          <a:extLst>
            <a:ext uri="{FF2B5EF4-FFF2-40B4-BE49-F238E27FC236}">
              <a16:creationId xmlns:a16="http://schemas.microsoft.com/office/drawing/2014/main" id="{167D58C1-2510-AF4B-6F8E-C1D978BFDD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762001</xdr:colOff>
      <xdr:row>23</xdr:row>
      <xdr:rowOff>136074</xdr:rowOff>
    </xdr:from>
    <xdr:to>
      <xdr:col>6</xdr:col>
      <xdr:colOff>1034143</xdr:colOff>
      <xdr:row>26</xdr:row>
      <xdr:rowOff>81541</xdr:rowOff>
    </xdr:to>
    <xdr:sp macro="" textlink="$E$24">
      <xdr:nvSpPr>
        <xdr:cNvPr id="19" name="Rectángulo 18">
          <a:extLst>
            <a:ext uri="{FF2B5EF4-FFF2-40B4-BE49-F238E27FC236}">
              <a16:creationId xmlns:a16="http://schemas.microsoft.com/office/drawing/2014/main" id="{9B025BA9-7FB1-BA25-9BBF-41CDD9B132B3}"/>
            </a:ext>
          </a:extLst>
        </xdr:cNvPr>
        <xdr:cNvSpPr/>
      </xdr:nvSpPr>
      <xdr:spPr>
        <a:xfrm>
          <a:off x="8858251" y="4517574"/>
          <a:ext cx="1796142" cy="516967"/>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41C4B50-BD0D-4846-A4DE-D44575E6C19A}" type="TxLink">
            <a:rPr lang="en-US" sz="3600" b="1" i="0" u="none" strike="noStrike">
              <a:solidFill>
                <a:srgbClr val="000000"/>
              </a:solidFill>
              <a:latin typeface="Aptos Narrow"/>
            </a:rPr>
            <a:pPr algn="ctr"/>
            <a:t>65%</a:t>
          </a:fld>
          <a:endParaRPr lang="es-PE" sz="3600" b="1"/>
        </a:p>
      </xdr:txBody>
    </xdr:sp>
    <xdr:clientData/>
  </xdr:twoCellAnchor>
  <xdr:twoCellAnchor>
    <xdr:from>
      <xdr:col>5</xdr:col>
      <xdr:colOff>251730</xdr:colOff>
      <xdr:row>33</xdr:row>
      <xdr:rowOff>43543</xdr:rowOff>
    </xdr:from>
    <xdr:to>
      <xdr:col>7</xdr:col>
      <xdr:colOff>993321</xdr:colOff>
      <xdr:row>44</xdr:row>
      <xdr:rowOff>136072</xdr:rowOff>
    </xdr:to>
    <xdr:graphicFrame macro="">
      <xdr:nvGraphicFramePr>
        <xdr:cNvPr id="21" name="Gráfico 20">
          <a:extLst>
            <a:ext uri="{FF2B5EF4-FFF2-40B4-BE49-F238E27FC236}">
              <a16:creationId xmlns:a16="http://schemas.microsoft.com/office/drawing/2014/main" id="{9A918CA8-62A5-5790-16D7-136D7B36FE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687160</xdr:colOff>
      <xdr:row>45</xdr:row>
      <xdr:rowOff>27214</xdr:rowOff>
    </xdr:from>
    <xdr:to>
      <xdr:col>8</xdr:col>
      <xdr:colOff>687160</xdr:colOff>
      <xdr:row>52</xdr:row>
      <xdr:rowOff>146957</xdr:rowOff>
    </xdr:to>
    <xdr:graphicFrame macro="">
      <xdr:nvGraphicFramePr>
        <xdr:cNvPr id="22" name="Gráfico 21">
          <a:extLst>
            <a:ext uri="{FF2B5EF4-FFF2-40B4-BE49-F238E27FC236}">
              <a16:creationId xmlns:a16="http://schemas.microsoft.com/office/drawing/2014/main" id="{568F61D2-A5DF-DA6A-6B46-8C70843A81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244929</xdr:colOff>
      <xdr:row>64</xdr:row>
      <xdr:rowOff>40822</xdr:rowOff>
    </xdr:from>
    <xdr:to>
      <xdr:col>7</xdr:col>
      <xdr:colOff>244929</xdr:colOff>
      <xdr:row>66</xdr:row>
      <xdr:rowOff>136072</xdr:rowOff>
    </xdr:to>
    <xdr:sp macro="" textlink="">
      <xdr:nvSpPr>
        <xdr:cNvPr id="25" name="Rectángulo 24">
          <a:extLst>
            <a:ext uri="{FF2B5EF4-FFF2-40B4-BE49-F238E27FC236}">
              <a16:creationId xmlns:a16="http://schemas.microsoft.com/office/drawing/2014/main" id="{F1F6AF55-DB56-2463-CC52-DB69AEB14FC7}"/>
            </a:ext>
          </a:extLst>
        </xdr:cNvPr>
        <xdr:cNvSpPr/>
      </xdr:nvSpPr>
      <xdr:spPr>
        <a:xfrm>
          <a:off x="8382000" y="12246429"/>
          <a:ext cx="3048000" cy="476250"/>
        </a:xfrm>
        <a:prstGeom prst="rect">
          <a:avLst/>
        </a:prstGeom>
        <a:solidFill>
          <a:srgbClr val="1A4779"/>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3</xdr:col>
      <xdr:colOff>387803</xdr:colOff>
      <xdr:row>68</xdr:row>
      <xdr:rowOff>84365</xdr:rowOff>
    </xdr:from>
    <xdr:to>
      <xdr:col>4</xdr:col>
      <xdr:colOff>857250</xdr:colOff>
      <xdr:row>82</xdr:row>
      <xdr:rowOff>160565</xdr:rowOff>
    </xdr:to>
    <xdr:graphicFrame macro="">
      <xdr:nvGraphicFramePr>
        <xdr:cNvPr id="24" name="Gráfico 23">
          <a:extLst>
            <a:ext uri="{FF2B5EF4-FFF2-40B4-BE49-F238E27FC236}">
              <a16:creationId xmlns:a16="http://schemas.microsoft.com/office/drawing/2014/main" id="{CE81A1ED-B850-967B-01A3-62A0EA1464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500744</xdr:colOff>
      <xdr:row>66</xdr:row>
      <xdr:rowOff>27214</xdr:rowOff>
    </xdr:from>
    <xdr:to>
      <xdr:col>4</xdr:col>
      <xdr:colOff>776744</xdr:colOff>
      <xdr:row>83</xdr:row>
      <xdr:rowOff>176895</xdr:rowOff>
    </xdr:to>
    <xdr:grpSp>
      <xdr:nvGrpSpPr>
        <xdr:cNvPr id="30" name="Grupo 29">
          <a:extLst>
            <a:ext uri="{FF2B5EF4-FFF2-40B4-BE49-F238E27FC236}">
              <a16:creationId xmlns:a16="http://schemas.microsoft.com/office/drawing/2014/main" id="{34E4F671-3980-858C-C002-9C51ED2FCCCE}"/>
            </a:ext>
          </a:extLst>
        </xdr:cNvPr>
        <xdr:cNvGrpSpPr/>
      </xdr:nvGrpSpPr>
      <xdr:grpSpPr>
        <a:xfrm>
          <a:off x="5589815" y="12613821"/>
          <a:ext cx="1800000" cy="3388181"/>
          <a:chOff x="5236029" y="12668250"/>
          <a:chExt cx="1800000" cy="3388181"/>
        </a:xfrm>
      </xdr:grpSpPr>
      <xdr:sp macro="" textlink="">
        <xdr:nvSpPr>
          <xdr:cNvPr id="26" name="Rectángulo 25">
            <a:extLst>
              <a:ext uri="{FF2B5EF4-FFF2-40B4-BE49-F238E27FC236}">
                <a16:creationId xmlns:a16="http://schemas.microsoft.com/office/drawing/2014/main" id="{60592D76-582F-AC11-AB2C-9D8ED466F3A7}"/>
              </a:ext>
            </a:extLst>
          </xdr:cNvPr>
          <xdr:cNvSpPr/>
        </xdr:nvSpPr>
        <xdr:spPr>
          <a:xfrm>
            <a:off x="5236029" y="13193486"/>
            <a:ext cx="1800000" cy="2544535"/>
          </a:xfrm>
          <a:prstGeom prst="rect">
            <a:avLst/>
          </a:prstGeom>
          <a:gradFill flip="none" rotWithShape="1">
            <a:gsLst>
              <a:gs pos="0">
                <a:schemeClr val="accent1">
                  <a:lumMod val="5000"/>
                  <a:lumOff val="95000"/>
                  <a:alpha val="50000"/>
                </a:schemeClr>
              </a:gs>
              <a:gs pos="74000">
                <a:schemeClr val="bg1">
                  <a:lumMod val="75000"/>
                  <a:alpha val="50000"/>
                </a:schemeClr>
              </a:gs>
              <a:gs pos="83000">
                <a:schemeClr val="tx1">
                  <a:lumMod val="50000"/>
                  <a:lumOff val="50000"/>
                  <a:alpha val="50000"/>
                </a:schemeClr>
              </a:gs>
              <a:gs pos="100000">
                <a:schemeClr val="bg1">
                  <a:lumMod val="85000"/>
                  <a:alpha val="50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7" name="Rectángulo 26">
            <a:extLst>
              <a:ext uri="{FF2B5EF4-FFF2-40B4-BE49-F238E27FC236}">
                <a16:creationId xmlns:a16="http://schemas.microsoft.com/office/drawing/2014/main" id="{AEF1DA5E-D99E-424B-ACA1-B91F65D8BEC2}"/>
              </a:ext>
            </a:extLst>
          </xdr:cNvPr>
          <xdr:cNvSpPr/>
        </xdr:nvSpPr>
        <xdr:spPr>
          <a:xfrm>
            <a:off x="5236029" y="12940395"/>
            <a:ext cx="1800000" cy="244928"/>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Rectángulo 27">
            <a:extLst>
              <a:ext uri="{FF2B5EF4-FFF2-40B4-BE49-F238E27FC236}">
                <a16:creationId xmlns:a16="http://schemas.microsoft.com/office/drawing/2014/main" id="{EEF7616F-6CA9-440A-B07A-2CCD8AE38C19}"/>
              </a:ext>
            </a:extLst>
          </xdr:cNvPr>
          <xdr:cNvSpPr/>
        </xdr:nvSpPr>
        <xdr:spPr>
          <a:xfrm>
            <a:off x="5236029" y="15776125"/>
            <a:ext cx="1800000" cy="280306"/>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9" name="Rectángulo 28">
            <a:extLst>
              <a:ext uri="{FF2B5EF4-FFF2-40B4-BE49-F238E27FC236}">
                <a16:creationId xmlns:a16="http://schemas.microsoft.com/office/drawing/2014/main" id="{B98F6D01-BD25-475C-808E-DF715226AACA}"/>
              </a:ext>
            </a:extLst>
          </xdr:cNvPr>
          <xdr:cNvSpPr/>
        </xdr:nvSpPr>
        <xdr:spPr>
          <a:xfrm>
            <a:off x="5776029" y="12668250"/>
            <a:ext cx="720000" cy="247650"/>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33.973585995373" createdVersion="8" refreshedVersion="8" minRefreshableVersion="3" recordCount="34" xr:uid="{B4AE37F3-2CE8-41D9-A67F-FA43CC5D609D}">
  <cacheSource type="worksheet">
    <worksheetSource name="Tabla1"/>
  </cacheSource>
  <cacheFields count="19">
    <cacheField name="Codigo" numFmtId="49">
      <sharedItems/>
    </cacheField>
    <cacheField name="Nº Carnet" numFmtId="49">
      <sharedItems containsSemiMixedTypes="0" containsString="0" containsNumber="1" containsInteger="1" minValue="17100" maxValue="17133"/>
    </cacheField>
    <cacheField name="Alumno" numFmtId="49">
      <sharedItems/>
    </cacheField>
    <cacheField name="DNI" numFmtId="0">
      <sharedItems containsSemiMixedTypes="0" containsString="0" containsNumber="1" containsInteger="1" minValue="10201476" maxValue="99844322"/>
    </cacheField>
    <cacheField name="Genero" numFmtId="49">
      <sharedItems count="2">
        <s v="Masculino"/>
        <s v="Femenino"/>
      </sharedItems>
    </cacheField>
    <cacheField name="Estado Civil" numFmtId="49">
      <sharedItems count="3">
        <s v="Soltero"/>
        <s v="Casado"/>
        <s v="Otro"/>
      </sharedItems>
    </cacheField>
    <cacheField name="Fecha_Matricula" numFmtId="14">
      <sharedItems containsDate="1" containsMixedTypes="1" minDate="2017-01-03T00:00:00" maxDate="2019-03-27T00:00:00" count="27">
        <d v="2017-01-03T00:00:00"/>
        <d v="2017-01-11T00:00:00"/>
        <d v="2017-01-14T00:00:00"/>
        <d v="2017-02-03T00:00:00"/>
        <s v="18/02/2017"/>
        <d v="2017-02-14T00:00:00"/>
        <d v="2017-02-04T00:00:00"/>
        <d v="2017-03-26T00:00:00"/>
        <d v="2017-03-25T00:00:00"/>
        <s v="18/02/2018"/>
        <d v="2018-01-03T00:00:00"/>
        <d v="2018-01-11T00:00:00"/>
        <d v="2018-01-14T00:00:00"/>
        <d v="2018-02-03T00:00:00"/>
        <d v="2018-02-18T00:00:00"/>
        <d v="2018-02-14T00:00:00"/>
        <d v="2018-02-04T00:00:00"/>
        <d v="2019-03-26T00:00:00"/>
        <d v="2019-03-25T00:00:00"/>
        <d v="2019-01-03T00:00:00"/>
        <d v="2019-01-11T00:00:00"/>
        <s v="23/03/2019"/>
        <d v="2017-11-03T00:00:00" u="1"/>
        <d v="2017-03-11T00:00:00" u="1"/>
        <s v="14/03/2017" u="1"/>
        <d v="2017-04-04T00:00:00" u="1"/>
        <d v="2017-04-25T00:00:00" u="1"/>
      </sharedItems>
      <fieldGroup par="18"/>
    </cacheField>
    <cacheField name="Edad" numFmtId="0">
      <sharedItems containsSemiMixedTypes="0" containsString="0" containsNumber="1" containsInteger="1" minValue="17" maxValue="25"/>
    </cacheField>
    <cacheField name="Sede" numFmtId="49">
      <sharedItems count="6">
        <s v="Lima Norte"/>
        <s v="Arequipa"/>
        <s v="Lima Sur"/>
        <s v="Lima Centro"/>
        <s v="Lima Este - SJL"/>
        <s v="Trujillo"/>
      </sharedItems>
    </cacheField>
    <cacheField name="Correo_Electronico" numFmtId="49">
      <sharedItems/>
    </cacheField>
    <cacheField name="Carrera" numFmtId="0">
      <sharedItems count="13">
        <s v="Ingenieria"/>
        <s v="Negocios Internacionales"/>
        <s v="Marketing"/>
        <s v="Ciencias de la Salud"/>
        <s v="Diseño"/>
        <s v="Comunicaciones"/>
        <s v="Economia"/>
        <s v="Administracion de Empresas"/>
        <s v="Arquitectura"/>
        <s v="Ciencias Humanas"/>
        <s v="Derecho"/>
        <s v="Psicologia"/>
        <s v="Educacion"/>
      </sharedItems>
    </cacheField>
    <cacheField name="Telefono" numFmtId="0">
      <sharedItems containsSemiMixedTypes="0" containsString="0" containsNumber="1" containsInteger="1" minValue="910017473" maxValue="999456345"/>
    </cacheField>
    <cacheField name="Nivel_Ingles" numFmtId="49">
      <sharedItems count="3">
        <s v="Basico"/>
        <s v="Intermedio"/>
        <s v="Avanzado"/>
      </sharedItems>
    </cacheField>
    <cacheField name="Categoria" numFmtId="49">
      <sharedItems count="4">
        <s v="D"/>
        <s v="A"/>
        <s v="B"/>
        <s v="C"/>
      </sharedItems>
    </cacheField>
    <cacheField name="Tipo_Colegio" numFmtId="49">
      <sharedItems count="2">
        <s v="Estatal"/>
        <s v="Privado"/>
      </sharedItems>
    </cacheField>
    <cacheField name="Discapacidad" numFmtId="49">
      <sharedItems count="2">
        <s v="NO"/>
        <s v="SI"/>
      </sharedItems>
    </cacheField>
    <cacheField name="PENSION" numFmtId="164">
      <sharedItems containsSemiMixedTypes="0" containsString="0" containsNumber="1" containsInteger="1" minValue="1200" maxValue="3500"/>
    </cacheField>
    <cacheField name="Satisfaccion" numFmtId="49">
      <sharedItems count="3">
        <s v="Satisfecho"/>
        <s v="No Satisfecho"/>
        <s v="Pacialmente Satisfecho"/>
      </sharedItems>
    </cacheField>
    <cacheField name="Fecha_Matricula2" numFmtId="0" databaseField="0">
      <fieldGroup base="6">
        <discretePr count="27">
          <x v="5"/>
          <x v="5"/>
          <x v="5"/>
          <x v="5"/>
          <x v="5"/>
          <x v="5"/>
          <x v="5"/>
          <x v="5"/>
          <x v="5"/>
          <x v="6"/>
          <x v="6"/>
          <x v="6"/>
          <x v="6"/>
          <x v="6"/>
          <x v="6"/>
          <x v="6"/>
          <x v="6"/>
          <x v="7"/>
          <x v="7"/>
          <x v="7"/>
          <x v="7"/>
          <x v="7"/>
          <x v="0"/>
          <x v="1"/>
          <x v="2"/>
          <x v="3"/>
          <x v="4"/>
        </discretePr>
        <groupItems count="8">
          <d v="2017-11-03T00:00:00"/>
          <d v="2017-03-11T00:00:00"/>
          <s v="14/03/2017"/>
          <d v="2017-04-04T00:00:00"/>
          <d v="2017-04-25T00:00:00"/>
          <s v="Grupo1"/>
          <s v="Grupo2"/>
          <s v="Grupo3"/>
        </groupItems>
      </fieldGroup>
    </cacheField>
  </cacheFields>
  <extLst>
    <ext xmlns:x14="http://schemas.microsoft.com/office/spreadsheetml/2009/9/main" uri="{725AE2AE-9491-48be-B2B4-4EB974FC3084}">
      <x14:pivotCacheDefinition pivotCacheId="1982737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s v="u17202725"/>
    <n v="17100"/>
    <s v="Lopez Quispe Jose Arturo"/>
    <n v="10201476"/>
    <x v="0"/>
    <x v="0"/>
    <x v="0"/>
    <n v="21"/>
    <x v="0"/>
    <s v="jose.lopez@gmail.com"/>
    <x v="0"/>
    <n v="974612536"/>
    <x v="0"/>
    <x v="0"/>
    <x v="0"/>
    <x v="0"/>
    <n v="1200"/>
    <x v="0"/>
  </r>
  <r>
    <s v="u17202726"/>
    <n v="17101"/>
    <s v="Sunny Vilca Jasmin Esperanza"/>
    <n v="66544463"/>
    <x v="1"/>
    <x v="0"/>
    <x v="1"/>
    <n v="18"/>
    <x v="1"/>
    <s v="sunnyjazmin@hotmail.com"/>
    <x v="1"/>
    <n v="975362764"/>
    <x v="1"/>
    <x v="1"/>
    <x v="1"/>
    <x v="0"/>
    <n v="3500"/>
    <x v="1"/>
  </r>
  <r>
    <s v="u17202727"/>
    <n v="17102"/>
    <s v="Lajo Bernahola Miguel Angel"/>
    <n v="77536466"/>
    <x v="0"/>
    <x v="0"/>
    <x v="1"/>
    <n v="22"/>
    <x v="0"/>
    <s v="ingmiguellajo@gmail.com"/>
    <x v="0"/>
    <n v="975812316"/>
    <x v="1"/>
    <x v="2"/>
    <x v="0"/>
    <x v="0"/>
    <n v="2700"/>
    <x v="2"/>
  </r>
  <r>
    <s v="u17202728"/>
    <n v="17103"/>
    <s v="Silva Rodriguez Rosa Carmen"/>
    <n v="36742633"/>
    <x v="1"/>
    <x v="1"/>
    <x v="2"/>
    <n v="19"/>
    <x v="2"/>
    <s v="silva.rosa@linea1.com"/>
    <x v="2"/>
    <n v="974726152"/>
    <x v="2"/>
    <x v="3"/>
    <x v="1"/>
    <x v="1"/>
    <n v="2000"/>
    <x v="0"/>
  </r>
  <r>
    <s v="u17202729"/>
    <n v="17104"/>
    <s v="Quispe Quispe Manuela Kim"/>
    <n v="33445322"/>
    <x v="1"/>
    <x v="2"/>
    <x v="3"/>
    <n v="21"/>
    <x v="3"/>
    <s v="kimquispe@gmail.com"/>
    <x v="3"/>
    <n v="987453234"/>
    <x v="0"/>
    <x v="1"/>
    <x v="1"/>
    <x v="0"/>
    <n v="3500"/>
    <x v="0"/>
  </r>
  <r>
    <s v="u17202730"/>
    <n v="17105"/>
    <s v="Suasnabar Lujan Maria Elena"/>
    <n v="55646533"/>
    <x v="1"/>
    <x v="1"/>
    <x v="4"/>
    <n v="18"/>
    <x v="4"/>
    <s v="lujan_maria@gmail.com"/>
    <x v="4"/>
    <n v="975612345"/>
    <x v="1"/>
    <x v="3"/>
    <x v="0"/>
    <x v="1"/>
    <n v="2000"/>
    <x v="0"/>
  </r>
  <r>
    <s v="u17202731"/>
    <n v="17106"/>
    <s v="Quintana Rosal Jose Luis"/>
    <n v="55647677"/>
    <x v="0"/>
    <x v="0"/>
    <x v="5"/>
    <n v="21"/>
    <x v="4"/>
    <s v="rosaljose.21@hotmail.com"/>
    <x v="5"/>
    <n v="999456345"/>
    <x v="0"/>
    <x v="2"/>
    <x v="0"/>
    <x v="0"/>
    <n v="2700"/>
    <x v="0"/>
  </r>
  <r>
    <s v="u17202732"/>
    <n v="17107"/>
    <s v="Rivera Ortiz Jose Armando"/>
    <n v="55676566"/>
    <x v="0"/>
    <x v="2"/>
    <x v="6"/>
    <n v="22"/>
    <x v="5"/>
    <s v="rosales22@gmail.com"/>
    <x v="6"/>
    <n v="964536263"/>
    <x v="2"/>
    <x v="1"/>
    <x v="1"/>
    <x v="0"/>
    <n v="3500"/>
    <x v="0"/>
  </r>
  <r>
    <s v="u17202733"/>
    <n v="17108"/>
    <s v="Oviedo Ruiz Manuel "/>
    <n v="55767677"/>
    <x v="0"/>
    <x v="0"/>
    <x v="7"/>
    <n v="25"/>
    <x v="5"/>
    <s v="Oviedo.25@hotmail.com"/>
    <x v="2"/>
    <n v="999453345"/>
    <x v="0"/>
    <x v="2"/>
    <x v="0"/>
    <x v="0"/>
    <n v="2700"/>
    <x v="0"/>
  </r>
  <r>
    <s v="u17202734"/>
    <n v="17109"/>
    <s v="Perez Orosco Jesus "/>
    <n v="55647666"/>
    <x v="0"/>
    <x v="2"/>
    <x v="8"/>
    <n v="24"/>
    <x v="0"/>
    <s v="Perez_jesus@gmail.com"/>
    <x v="0"/>
    <n v="964544263"/>
    <x v="2"/>
    <x v="1"/>
    <x v="1"/>
    <x v="0"/>
    <n v="3500"/>
    <x v="0"/>
  </r>
  <r>
    <s v="u17202735"/>
    <n v="17110"/>
    <s v="Rosario Gabriel Abiyeli"/>
    <n v="14584732"/>
    <x v="1"/>
    <x v="0"/>
    <x v="0"/>
    <n v="20"/>
    <x v="3"/>
    <s v="Rosario_Abiyeli@gmail.com"/>
    <x v="7"/>
    <n v="987462113"/>
    <x v="2"/>
    <x v="1"/>
    <x v="1"/>
    <x v="0"/>
    <n v="3500"/>
    <x v="0"/>
  </r>
  <r>
    <s v="u17202736"/>
    <n v="17111"/>
    <s v="Borges Valdes Addys"/>
    <n v="87364773"/>
    <x v="1"/>
    <x v="0"/>
    <x v="1"/>
    <n v="20"/>
    <x v="3"/>
    <s v="Borges_Addys@gmail.com"/>
    <x v="8"/>
    <n v="987465372"/>
    <x v="2"/>
    <x v="2"/>
    <x v="1"/>
    <x v="0"/>
    <n v="2700"/>
    <x v="0"/>
  </r>
  <r>
    <s v="u17202737"/>
    <n v="17112"/>
    <s v="Ortiz Cirilo Alejo"/>
    <n v="88733643"/>
    <x v="0"/>
    <x v="0"/>
    <x v="1"/>
    <n v="20"/>
    <x v="3"/>
    <s v="Ortiz_Alejo@gmail.com"/>
    <x v="3"/>
    <n v="911876311"/>
    <x v="2"/>
    <x v="3"/>
    <x v="1"/>
    <x v="0"/>
    <n v="2000"/>
    <x v="0"/>
  </r>
  <r>
    <s v="u17202738"/>
    <n v="17113"/>
    <s v="Ramirez Granados Alfredo"/>
    <n v="76712098"/>
    <x v="0"/>
    <x v="0"/>
    <x v="2"/>
    <n v="19"/>
    <x v="2"/>
    <s v="Ramirez_Alfredo@gmail.com"/>
    <x v="9"/>
    <n v="980576747"/>
    <x v="2"/>
    <x v="0"/>
    <x v="1"/>
    <x v="0"/>
    <n v="1200"/>
    <x v="0"/>
  </r>
  <r>
    <s v="u17202739"/>
    <n v="17114"/>
    <s v="Loredo Cabrera Alma Delia"/>
    <n v="10938473"/>
    <x v="1"/>
    <x v="0"/>
    <x v="3"/>
    <n v="19"/>
    <x v="2"/>
    <s v="Loredo_Delia@gmail.com"/>
    <x v="5"/>
    <n v="990876255"/>
    <x v="2"/>
    <x v="1"/>
    <x v="1"/>
    <x v="0"/>
    <n v="3500"/>
    <x v="1"/>
  </r>
  <r>
    <s v="u17202740"/>
    <n v="17115"/>
    <s v="Delgadillo Lee Amadeo"/>
    <n v="10983743"/>
    <x v="0"/>
    <x v="1"/>
    <x v="9"/>
    <n v="17"/>
    <x v="0"/>
    <s v="Delgadillo_Amadeo@gmail.com"/>
    <x v="10"/>
    <n v="911028717"/>
    <x v="0"/>
    <x v="3"/>
    <x v="0"/>
    <x v="0"/>
    <n v="2000"/>
    <x v="1"/>
  </r>
  <r>
    <s v="u17202741"/>
    <n v="17116"/>
    <s v="Garcia Anduaga Ana Cristina"/>
    <n v="87394873"/>
    <x v="1"/>
    <x v="2"/>
    <x v="5"/>
    <n v="17"/>
    <x v="0"/>
    <s v="Garcia_Cristina@gmail.com"/>
    <x v="0"/>
    <n v="998408553"/>
    <x v="0"/>
    <x v="1"/>
    <x v="0"/>
    <x v="1"/>
    <n v="3500"/>
    <x v="2"/>
  </r>
  <r>
    <s v="u17202742"/>
    <n v="17117"/>
    <s v="Mejia Zaragoza Anahy"/>
    <n v="99844322"/>
    <x v="1"/>
    <x v="2"/>
    <x v="6"/>
    <n v="18"/>
    <x v="5"/>
    <s v="Mejia_Anahy@gmail.com"/>
    <x v="1"/>
    <n v="972131022"/>
    <x v="0"/>
    <x v="1"/>
    <x v="1"/>
    <x v="1"/>
    <n v="3500"/>
    <x v="2"/>
  </r>
  <r>
    <s v="u17202743"/>
    <n v="17118"/>
    <s v="Martinez Aburto Angelica"/>
    <n v="76489234"/>
    <x v="1"/>
    <x v="0"/>
    <x v="7"/>
    <n v="22"/>
    <x v="5"/>
    <s v="Martinez_Angelica@gmail.com"/>
    <x v="11"/>
    <n v="988608763"/>
    <x v="1"/>
    <x v="3"/>
    <x v="1"/>
    <x v="1"/>
    <n v="2000"/>
    <x v="2"/>
  </r>
  <r>
    <s v="u17202744"/>
    <n v="17119"/>
    <s v="Juarez Perez Angelica Noemi"/>
    <n v="36472938"/>
    <x v="1"/>
    <x v="0"/>
    <x v="8"/>
    <n v="24"/>
    <x v="1"/>
    <s v="Juarez_Noemi@gmail.com"/>
    <x v="4"/>
    <n v="911252433"/>
    <x v="1"/>
    <x v="2"/>
    <x v="1"/>
    <x v="0"/>
    <n v="2700"/>
    <x v="2"/>
  </r>
  <r>
    <s v="u17202745"/>
    <n v="17120"/>
    <s v="Lopez Lopez Antonieta"/>
    <n v="65643273"/>
    <x v="1"/>
    <x v="0"/>
    <x v="10"/>
    <n v="25"/>
    <x v="1"/>
    <s v="Lopez_Antonieta@gmail.com"/>
    <x v="6"/>
    <n v="987654321"/>
    <x v="1"/>
    <x v="2"/>
    <x v="1"/>
    <x v="0"/>
    <n v="2700"/>
    <x v="0"/>
  </r>
  <r>
    <s v="u17202746"/>
    <n v="17121"/>
    <s v="Garcia Zuñiga Ariel"/>
    <n v="77664323"/>
    <x v="0"/>
    <x v="0"/>
    <x v="11"/>
    <n v="21"/>
    <x v="1"/>
    <s v="Garcia_Ariel@gmail.com"/>
    <x v="12"/>
    <n v="912345678"/>
    <x v="2"/>
    <x v="0"/>
    <x v="1"/>
    <x v="1"/>
    <n v="1200"/>
    <x v="0"/>
  </r>
  <r>
    <s v="u17202747"/>
    <n v="17122"/>
    <s v="Ramires Ramos Beatriz Magdalena"/>
    <n v="73643723"/>
    <x v="1"/>
    <x v="0"/>
    <x v="11"/>
    <n v="21"/>
    <x v="4"/>
    <s v="Ramires_Magdalena@gmail.com"/>
    <x v="8"/>
    <n v="912306513"/>
    <x v="2"/>
    <x v="0"/>
    <x v="0"/>
    <x v="0"/>
    <n v="1200"/>
    <x v="0"/>
  </r>
  <r>
    <s v="u17202748"/>
    <n v="17123"/>
    <s v="Contreras Valadez Blanca Cecilia"/>
    <n v="73483647"/>
    <x v="1"/>
    <x v="0"/>
    <x v="12"/>
    <n v="20"/>
    <x v="4"/>
    <s v="Contreras_Cecilia@gmail.com"/>
    <x v="3"/>
    <n v="912873643"/>
    <x v="2"/>
    <x v="0"/>
    <x v="0"/>
    <x v="0"/>
    <n v="1200"/>
    <x v="0"/>
  </r>
  <r>
    <s v="u17202749"/>
    <n v="17124"/>
    <s v="Esquivel Robles Claudia"/>
    <n v="13746637"/>
    <x v="1"/>
    <x v="0"/>
    <x v="13"/>
    <n v="19"/>
    <x v="3"/>
    <s v="Esquivel_Claudia@gmail.com"/>
    <x v="9"/>
    <n v="987073773"/>
    <x v="2"/>
    <x v="2"/>
    <x v="0"/>
    <x v="0"/>
    <n v="2700"/>
    <x v="0"/>
  </r>
  <r>
    <s v="u17202750"/>
    <n v="17125"/>
    <s v="Hernandez Ramirez Claudia Ivonne"/>
    <n v="13774837"/>
    <x v="1"/>
    <x v="0"/>
    <x v="14"/>
    <n v="19"/>
    <x v="3"/>
    <s v="Hernandez_Ivonne@gmail.com"/>
    <x v="5"/>
    <n v="987463512"/>
    <x v="2"/>
    <x v="1"/>
    <x v="1"/>
    <x v="0"/>
    <n v="3500"/>
    <x v="1"/>
  </r>
  <r>
    <s v="u17202751"/>
    <n v="17126"/>
    <s v="Ortega Rodriguez Cristina"/>
    <n v="37348766"/>
    <x v="1"/>
    <x v="0"/>
    <x v="15"/>
    <n v="20"/>
    <x v="0"/>
    <s v="Ortega_Cristina@gmail.com"/>
    <x v="10"/>
    <n v="987635473"/>
    <x v="0"/>
    <x v="1"/>
    <x v="1"/>
    <x v="0"/>
    <n v="3500"/>
    <x v="2"/>
  </r>
  <r>
    <s v="u17202752"/>
    <n v="17127"/>
    <s v="Tapia Terrazas Cyntia Desiree"/>
    <n v="47384673"/>
    <x v="1"/>
    <x v="1"/>
    <x v="16"/>
    <n v="20"/>
    <x v="4"/>
    <s v="Tapia_Desiree@gmail.com"/>
    <x v="0"/>
    <n v="910017473"/>
    <x v="0"/>
    <x v="2"/>
    <x v="1"/>
    <x v="0"/>
    <n v="2700"/>
    <x v="2"/>
  </r>
  <r>
    <s v="u17202753"/>
    <n v="17128"/>
    <s v="Moreno Garcia Daniel"/>
    <n v="73648733"/>
    <x v="0"/>
    <x v="0"/>
    <x v="17"/>
    <n v="22"/>
    <x v="2"/>
    <s v="Moreno_Daniel@gmail.com"/>
    <x v="1"/>
    <n v="988374527"/>
    <x v="0"/>
    <x v="3"/>
    <x v="1"/>
    <x v="0"/>
    <n v="2000"/>
    <x v="0"/>
  </r>
  <r>
    <s v="u17202754"/>
    <n v="17129"/>
    <s v="Dominguez Sosa Daniel"/>
    <n v="37846346"/>
    <x v="0"/>
    <x v="0"/>
    <x v="18"/>
    <n v="22"/>
    <x v="2"/>
    <s v="Dominguez_Daniel@gmail.com"/>
    <x v="11"/>
    <n v="983745373"/>
    <x v="0"/>
    <x v="0"/>
    <x v="0"/>
    <x v="0"/>
    <n v="1200"/>
    <x v="0"/>
  </r>
  <r>
    <s v="u17202755"/>
    <n v="17130"/>
    <s v="Rodriguez Flores Daniela"/>
    <n v="77463049"/>
    <x v="1"/>
    <x v="0"/>
    <x v="19"/>
    <n v="21"/>
    <x v="0"/>
    <s v="Rodriguez_Daniela@gmail.com"/>
    <x v="4"/>
    <n v="982877655"/>
    <x v="0"/>
    <x v="1"/>
    <x v="0"/>
    <x v="0"/>
    <n v="3500"/>
    <x v="0"/>
  </r>
  <r>
    <s v="u17202756"/>
    <n v="17131"/>
    <s v="Garduño Bautista David"/>
    <n v="94838749"/>
    <x v="0"/>
    <x v="2"/>
    <x v="20"/>
    <n v="20"/>
    <x v="5"/>
    <s v="Garduño_David@gmail.com"/>
    <x v="6"/>
    <n v="915855442"/>
    <x v="1"/>
    <x v="2"/>
    <x v="0"/>
    <x v="0"/>
    <n v="2700"/>
    <x v="0"/>
  </r>
  <r>
    <s v="u17202757"/>
    <n v="17132"/>
    <s v="Romero Guzman Diana"/>
    <n v="34453254"/>
    <x v="1"/>
    <x v="0"/>
    <x v="20"/>
    <n v="20"/>
    <x v="1"/>
    <s v="Romero_Diana@gmail.com"/>
    <x v="12"/>
    <n v="984631524"/>
    <x v="2"/>
    <x v="3"/>
    <x v="1"/>
    <x v="1"/>
    <n v="2000"/>
    <x v="2"/>
  </r>
  <r>
    <s v="u17202758"/>
    <n v="17133"/>
    <s v="Luna Sarmiento Luis Jorge"/>
    <n v="66545788"/>
    <x v="0"/>
    <x v="2"/>
    <x v="21"/>
    <n v="20"/>
    <x v="4"/>
    <s v="Luna.Okey@hotmail.com"/>
    <x v="1"/>
    <n v="976754632"/>
    <x v="2"/>
    <x v="0"/>
    <x v="0"/>
    <x v="0"/>
    <n v="12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E11DC4-DB2E-4BC6-B35E-323F376019CF}" name="TablaDinámica5"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4:B38" firstHeaderRow="1" firstDataRow="1" firstDataCol="1"/>
  <pivotFields count="19">
    <pivotField showAll="0"/>
    <pivotField numFmtId="49" showAll="0"/>
    <pivotField showAll="0"/>
    <pivotField showAll="0"/>
    <pivotField showAll="0"/>
    <pivotField axis="axisRow" dataField="1" showAll="0">
      <items count="4">
        <item x="1"/>
        <item x="2"/>
        <item x="0"/>
        <item t="default"/>
      </items>
    </pivotField>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showAll="0"/>
    <pivotField showAll="0" defaultSubtotal="0">
      <items count="8">
        <item x="0"/>
        <item x="1"/>
        <item x="2"/>
        <item x="3"/>
        <item x="4"/>
        <item x="5"/>
        <item x="6"/>
        <item x="7"/>
      </items>
    </pivotField>
  </pivotFields>
  <rowFields count="1">
    <field x="5"/>
  </rowFields>
  <rowItems count="4">
    <i>
      <x/>
    </i>
    <i>
      <x v="1"/>
    </i>
    <i>
      <x v="2"/>
    </i>
    <i t="grand">
      <x/>
    </i>
  </rowItems>
  <colItems count="1">
    <i/>
  </colItems>
  <dataFields count="1">
    <dataField name="Cuenta de Estado Civil" fld="5" subtotal="count" showDataAs="percentOfTotal" baseField="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720F21-DD7C-432F-8A62-A1239C521955}" name="TablaDinámica3"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22:B26" firstHeaderRow="1" firstDataRow="1" firstDataCol="1"/>
  <pivotFields count="19">
    <pivotField showAll="0"/>
    <pivotField numFmtId="49" showAll="0"/>
    <pivotField showAll="0"/>
    <pivotField showAll="0"/>
    <pivotField showAll="0"/>
    <pivotField showAll="0"/>
    <pivotField showAll="0">
      <items count="28">
        <item m="1" x="24"/>
        <item x="4"/>
        <item m="1" x="23"/>
        <item x="7"/>
        <item m="1" x="25"/>
        <item m="1" x="26"/>
        <item m="1" x="22"/>
        <item x="0"/>
        <item x="1"/>
        <item x="2"/>
        <item x="3"/>
        <item x="5"/>
        <item x="6"/>
        <item x="8"/>
        <item x="9"/>
        <item x="10"/>
        <item x="11"/>
        <item x="12"/>
        <item x="13"/>
        <item x="14"/>
        <item x="15"/>
        <item x="16"/>
        <item x="17"/>
        <item x="18"/>
        <item x="19"/>
        <item x="20"/>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axis="axisRow" dataField="1" showAll="0">
      <items count="4">
        <item x="1"/>
        <item x="2"/>
        <item x="0"/>
        <item t="default"/>
      </items>
    </pivotField>
    <pivotField name="AÑO" showAll="0">
      <items count="9">
        <item x="2"/>
        <item n="2017" x="5"/>
        <item x="1"/>
        <item x="3"/>
        <item x="4"/>
        <item x="0"/>
        <item n="2018" x="6"/>
        <item n="2019" x="7"/>
        <item t="default"/>
      </items>
    </pivotField>
  </pivotFields>
  <rowFields count="1">
    <field x="17"/>
  </rowFields>
  <rowItems count="4">
    <i>
      <x/>
    </i>
    <i>
      <x v="1"/>
    </i>
    <i>
      <x v="2"/>
    </i>
    <i t="grand">
      <x/>
    </i>
  </rowItems>
  <colItems count="1">
    <i/>
  </colItems>
  <dataFields count="1">
    <dataField name="Cuenta de Satisfaccion" fld="17" subtotal="count" showDataAs="percentOfTotal" baseField="17"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651F2B-B591-4217-A189-16A39D7443E4}" name="TablaDinámica1"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1:C4" firstHeaderRow="0" firstDataRow="1" firstDataCol="1"/>
  <pivotFields count="19">
    <pivotField showAll="0"/>
    <pivotField numFmtId="49" showAll="0"/>
    <pivotField showAll="0"/>
    <pivotField showAll="0"/>
    <pivotField axis="axisRow" dataField="1" showAll="0">
      <items count="3">
        <item x="1"/>
        <item x="0"/>
        <item t="default"/>
      </items>
    </pivotField>
    <pivotField showAll="0"/>
    <pivotField showAll="0">
      <items count="28">
        <item m="1" x="24"/>
        <item x="4"/>
        <item x="9"/>
        <item x="0"/>
        <item x="1"/>
        <item x="2"/>
        <item x="3"/>
        <item x="6"/>
        <item x="5"/>
        <item m="1" x="23"/>
        <item x="8"/>
        <item x="7"/>
        <item m="1" x="25"/>
        <item m="1" x="26"/>
        <item m="1" x="22"/>
        <item x="10"/>
        <item x="11"/>
        <item x="12"/>
        <item x="13"/>
        <item x="16"/>
        <item x="15"/>
        <item x="14"/>
        <item x="19"/>
        <item x="20"/>
        <item x="18"/>
        <item x="17"/>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showAll="0"/>
    <pivotField showAll="0">
      <items count="9">
        <item x="2"/>
        <item x="5"/>
        <item x="6"/>
        <item x="1"/>
        <item x="3"/>
        <item x="4"/>
        <item x="0"/>
        <item x="7"/>
        <item t="default"/>
      </items>
    </pivotField>
  </pivotFields>
  <rowFields count="1">
    <field x="4"/>
  </rowFields>
  <rowItems count="3">
    <i>
      <x/>
    </i>
    <i>
      <x v="1"/>
    </i>
    <i t="grand">
      <x/>
    </i>
  </rowItems>
  <colFields count="1">
    <field x="-2"/>
  </colFields>
  <colItems count="2">
    <i>
      <x/>
    </i>
    <i i="1">
      <x v="1"/>
    </i>
  </colItems>
  <dataFields count="2">
    <dataField name="Cuenta de Genero" fld="4" subtotal="count" baseField="0" baseItem="0"/>
    <dataField name="% de Genero" fld="4" subtotal="count" showDataAs="percentOfTotal" baseField="4" baseItem="0" numFmtId="10"/>
  </dataFields>
  <formats count="4">
    <format dxfId="3">
      <pivotArea field="4" type="button" dataOnly="0" labelOnly="1" outline="0" axis="axisRow" fieldPosition="0"/>
    </format>
    <format dxfId="2">
      <pivotArea dataOnly="0" labelOnly="1" outline="0" fieldPosition="0">
        <references count="1">
          <reference field="4294967294" count="2">
            <x v="0"/>
            <x v="1"/>
          </reference>
        </references>
      </pivotArea>
    </format>
    <format dxfId="1">
      <pivotArea field="4" type="button" dataOnly="0" labelOnly="1" outline="0" axis="axisRow"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DEFE1F-FE6B-48D1-9F81-AAB6B391466B}" name="TablaDinámica10"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91:A92" firstHeaderRow="1" firstDataRow="1" firstDataCol="0"/>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dataField="1" numFmtId="164" showAll="0"/>
    <pivotField showAll="0"/>
    <pivotField showAll="0" defaultSubtotal="0">
      <items count="8">
        <item x="0"/>
        <item x="1"/>
        <item x="2"/>
        <item x="3"/>
        <item x="4"/>
        <item x="5"/>
        <item x="6"/>
        <item x="7"/>
      </items>
    </pivotField>
  </pivotFields>
  <rowItems count="1">
    <i/>
  </rowItems>
  <colItems count="1">
    <i/>
  </colItems>
  <dataFields count="1">
    <dataField name="Suma de PENSION" fld="1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2E06D9-3AC6-4D0C-8F52-4E7DA8DB441E}" name="TablaDinámica9"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64:B67" firstHeaderRow="1" firstDataRow="1" firstDataCol="1"/>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axis="axisRow" dataField="1" showAll="0">
      <items count="3">
        <item x="0"/>
        <item x="1"/>
        <item t="default"/>
      </items>
    </pivotField>
    <pivotField numFmtId="164" showAll="0"/>
    <pivotField showAll="0"/>
    <pivotField showAll="0" defaultSubtotal="0">
      <items count="8">
        <item x="0"/>
        <item x="1"/>
        <item x="2"/>
        <item x="3"/>
        <item x="4"/>
        <item x="5"/>
        <item x="6"/>
        <item x="7"/>
      </items>
    </pivotField>
  </pivotFields>
  <rowFields count="1">
    <field x="15"/>
  </rowFields>
  <rowItems count="3">
    <i>
      <x/>
    </i>
    <i>
      <x v="1"/>
    </i>
    <i t="grand">
      <x/>
    </i>
  </rowItems>
  <colItems count="1">
    <i/>
  </colItems>
  <dataFields count="1">
    <dataField name="Cuenta de Discapacidad" fld="15" subtotal="count" showDataAs="percentOfTotal" baseField="1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C12786-F2F1-414F-967F-F3D655752B8C}"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1:B15" firstHeaderRow="1" firstDataRow="1" firstDataCol="1"/>
  <pivotFields count="19">
    <pivotField showAll="0"/>
    <pivotField numFmtId="49" showAll="0"/>
    <pivotField showAll="0"/>
    <pivotField showAll="0"/>
    <pivotField showAll="0"/>
    <pivotField showAll="0"/>
    <pivotField showAll="0">
      <items count="28">
        <item m="1" x="24"/>
        <item x="4"/>
        <item x="9"/>
        <item x="0"/>
        <item x="1"/>
        <item x="2"/>
        <item x="3"/>
        <item x="6"/>
        <item x="5"/>
        <item m="1" x="23"/>
        <item x="8"/>
        <item x="7"/>
        <item m="1" x="25"/>
        <item m="1" x="26"/>
        <item m="1" x="22"/>
        <item x="10"/>
        <item x="11"/>
        <item x="12"/>
        <item x="13"/>
        <item x="16"/>
        <item x="15"/>
        <item x="14"/>
        <item x="19"/>
        <item x="20"/>
        <item x="18"/>
        <item x="17"/>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axis="axisRow" dataField="1" showAll="0">
      <items count="4">
        <item x="2"/>
        <item x="0"/>
        <item x="1"/>
        <item t="default"/>
      </items>
    </pivotField>
    <pivotField showAll="0">
      <items count="5">
        <item x="1"/>
        <item x="2"/>
        <item x="3"/>
        <item x="0"/>
        <item t="default"/>
      </items>
    </pivotField>
    <pivotField showAll="0"/>
    <pivotField showAll="0"/>
    <pivotField numFmtId="164" showAll="0"/>
    <pivotField showAll="0"/>
    <pivotField showAll="0">
      <items count="9">
        <item x="2"/>
        <item x="5"/>
        <item x="6"/>
        <item x="1"/>
        <item x="3"/>
        <item x="4"/>
        <item x="0"/>
        <item x="7"/>
        <item t="default"/>
      </items>
    </pivotField>
  </pivotFields>
  <rowFields count="1">
    <field x="12"/>
  </rowFields>
  <rowItems count="4">
    <i>
      <x/>
    </i>
    <i>
      <x v="1"/>
    </i>
    <i>
      <x v="2"/>
    </i>
    <i t="grand">
      <x/>
    </i>
  </rowItems>
  <colItems count="1">
    <i/>
  </colItems>
  <dataFields count="1">
    <dataField name="Cuenta de Nivel_Ingles" fld="12" subtotal="count" showDataAs="percentOfTotal" baseField="12"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B25D452-7185-4902-8182-D98F5AFD467D}"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1:B54" firstHeaderRow="1" firstDataRow="1" firstDataCol="1"/>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axis="axisRow" dataField="1" showAll="0">
      <items count="3">
        <item x="0"/>
        <item x="1"/>
        <item t="default"/>
      </items>
    </pivotField>
    <pivotField showAll="0"/>
    <pivotField numFmtId="164" showAll="0"/>
    <pivotField showAll="0"/>
    <pivotField showAll="0" defaultSubtotal="0">
      <items count="8">
        <item x="0"/>
        <item x="1"/>
        <item x="2"/>
        <item x="3"/>
        <item x="4"/>
        <item x="5"/>
        <item x="6"/>
        <item x="7"/>
      </items>
    </pivotField>
  </pivotFields>
  <rowFields count="1">
    <field x="14"/>
  </rowFields>
  <rowItems count="3">
    <i>
      <x/>
    </i>
    <i>
      <x v="1"/>
    </i>
    <i t="grand">
      <x/>
    </i>
  </rowItems>
  <colItems count="1">
    <i/>
  </colItems>
  <dataFields count="1">
    <dataField name="Cuenta de Tipo_Colegio" fld="14" subtotal="count" showDataAs="percentOfTotal" baseField="1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_Matricula2" xr10:uid="{34738B04-EB8B-4357-8DA5-BBA582C30E79}" sourceName="Fecha_Matricula2">
  <pivotTables>
    <pivotTable tabId="5" name="TablaDinámica3"/>
    <pivotTable tabId="5" name="TablaDinámica1"/>
    <pivotTable tabId="5" name="TablaDinámica2"/>
    <pivotTable tabId="5" name="TablaDinámica5"/>
    <pivotTable tabId="5" name="TablaDinámica10"/>
    <pivotTable tabId="5" name="TablaDinámica6"/>
    <pivotTable tabId="5" name="TablaDinámica9"/>
  </pivotTables>
  <data>
    <tabular pivotCacheId="1982737605">
      <items count="8">
        <i x="5" s="1"/>
        <i x="6" s="1"/>
        <i x="7" s="1"/>
        <i x="2" s="1" nd="1"/>
        <i x="1" s="1" nd="1"/>
        <i x="3" s="1" nd="1"/>
        <i x="4"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de" xr10:uid="{AF5214CD-AF0B-4700-8EEA-4248BD2DA6B1}" sourceName="Sede">
  <pivotTables>
    <pivotTable tabId="5" name="TablaDinámica3"/>
    <pivotTable tabId="5" name="TablaDinámica1"/>
    <pivotTable tabId="5" name="TablaDinámica2"/>
    <pivotTable tabId="5" name="TablaDinámica5"/>
    <pivotTable tabId="5" name="TablaDinámica10"/>
    <pivotTable tabId="5" name="TablaDinámica6"/>
    <pivotTable tabId="5" name="TablaDinámica9"/>
  </pivotTables>
  <data>
    <tabular pivotCacheId="1982737605">
      <items count="6">
        <i x="1" s="1"/>
        <i x="3" s="1"/>
        <i x="4" s="1"/>
        <i x="0"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rrera" xr10:uid="{4001BBE5-5F93-4390-9F1D-E9B428F7F76E}" sourceName="Carrera">
  <pivotTables>
    <pivotTable tabId="5" name="TablaDinámica3"/>
    <pivotTable tabId="5" name="TablaDinámica1"/>
    <pivotTable tabId="5" name="TablaDinámica2"/>
    <pivotTable tabId="5" name="TablaDinámica5"/>
    <pivotTable tabId="5" name="TablaDinámica6"/>
    <pivotTable tabId="5" name="TablaDinámica10"/>
    <pivotTable tabId="5" name="TablaDinámica9"/>
  </pivotTables>
  <data>
    <tabular pivotCacheId="1982737605">
      <items count="13">
        <i x="7" s="1"/>
        <i x="8" s="1"/>
        <i x="3" s="1"/>
        <i x="9" s="1"/>
        <i x="5" s="1"/>
        <i x="10" s="1"/>
        <i x="4" s="1"/>
        <i x="6" s="1"/>
        <i x="12" s="1"/>
        <i x="0" s="1"/>
        <i x="2" s="1"/>
        <i x="1"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73C5C374-CED8-4FCF-AC70-49E6FDA5BCCC}" sourceName="Categoria">
  <pivotTables>
    <pivotTable tabId="5" name="TablaDinámica2"/>
    <pivotTable tabId="5" name="TablaDinámica1"/>
    <pivotTable tabId="5" name="TablaDinámica3"/>
    <pivotTable tabId="5" name="TablaDinámica5"/>
    <pivotTable tabId="5" name="TablaDinámica10"/>
    <pivotTable tabId="5" name="TablaDinámica6"/>
    <pivotTable tabId="5" name="TablaDinámica9"/>
  </pivotTables>
  <data>
    <tabular pivotCacheId="1982737605">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58645EC7-7474-49FD-ACD2-298441F9EA06}" cache="SegmentaciónDeDatos_Fecha_Matricula2" caption="AÑO" columnCount="3" style="LAJO_BLUE" rowHeight="257175"/>
  <slicer name="Sede" xr10:uid="{191E7E44-8FBE-4D3D-88A4-E1F4A41F8549}" cache="SegmentaciónDeDatos_Sede" caption="SEDE" columnCount="6" style="LAJO_BLUE" rowHeight="257175"/>
  <slicer name="Carrera" xr10:uid="{B4D79DC6-3854-4B93-AEA7-D3CBBBDDB70E}" cache="SegmentaciónDeDatos_Carrera" caption="CARRERA" style="LAJO_BLUE" rowHeight="257175"/>
  <slicer name="Categoria" xr10:uid="{647CA73E-0253-41CA-980A-2D41521D22E2}" cache="SegmentaciónDeDatos_Categoria" caption="Categoria" columnCount="4" style="LAJO_BLU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3A1C25-464E-4DD6-9CB9-2E6A1935DA94}" name="Tabla1" displayName="Tabla1" ref="B4:S38" totalsRowShown="0" headerRowDxfId="23" dataDxfId="22">
  <tableColumns count="18">
    <tableColumn id="1" xr3:uid="{8442DAF0-FB79-4530-9892-7905CE2FE89A}" name="Codigo" dataDxfId="21"/>
    <tableColumn id="2" xr3:uid="{29963AF2-2E8B-40EE-9C3F-D0BF23EEF11E}" name="Nº Carnet" dataDxfId="20"/>
    <tableColumn id="3" xr3:uid="{E841EDFC-FA9F-4582-9BB2-91F58ECA7CFF}" name="Alumno" dataDxfId="19"/>
    <tableColumn id="4" xr3:uid="{ED756231-97F6-40B9-BF54-D2B92A1264D6}" name="DNI" dataDxfId="18"/>
    <tableColumn id="5" xr3:uid="{D49AB7B8-B644-4699-8486-BB095E39AB95}" name="Genero" dataDxfId="17"/>
    <tableColumn id="6" xr3:uid="{701CA7A4-3BC6-475C-8FAF-F5D05EEB212E}" name="Estado Civil" dataDxfId="16"/>
    <tableColumn id="7" xr3:uid="{BE141E83-C186-425D-80A0-19010600216D}" name="Fecha_Matricula" dataDxfId="15"/>
    <tableColumn id="8" xr3:uid="{1E5F6CD9-1860-49CE-BC58-F31865834EBC}" name="Edad" dataDxfId="14"/>
    <tableColumn id="9" xr3:uid="{9F1B1614-8C6A-4D6A-ABCD-199FD5755AF2}" name="Sede" dataDxfId="13"/>
    <tableColumn id="10" xr3:uid="{20E81970-25E7-4FA7-A1EB-B6266CFDF205}" name="Correo_Electronico" dataDxfId="12" dataCellStyle="Hipervínculo"/>
    <tableColumn id="11" xr3:uid="{DC729334-E2B6-4EB7-8923-04C3CFEC9089}" name="Carrera" dataDxfId="11"/>
    <tableColumn id="12" xr3:uid="{1404D57D-0886-4322-B812-3D922592D87A}" name="Telefono" dataDxfId="10"/>
    <tableColumn id="13" xr3:uid="{823FD88D-63FA-4CA8-88AA-16F90E40C89F}" name="Nivel_Ingles" dataDxfId="9"/>
    <tableColumn id="14" xr3:uid="{75ACBA2F-6F64-4C07-B76D-A0D863B8D99F}" name="Categoria" dataDxfId="8"/>
    <tableColumn id="15" xr3:uid="{E70E99F5-7CB3-4EDA-A682-F34EFD50331D}" name="Tipo_Colegio" dataDxfId="7"/>
    <tableColumn id="16" xr3:uid="{AE8518D8-7744-4B8D-B59A-4AD3A6C9BCC3}" name="Discapacidad" dataDxfId="6"/>
    <tableColumn id="17" xr3:uid="{5210B65B-93B4-4A9B-A3B3-E0A11F1C0316}" name="PENSION" dataDxfId="5">
      <calculatedColumnFormula>IF(Tabla1[[#This Row],[Categoria]]="A",3500,IF(Tabla1[[#This Row],[Categoria]]="B",2700,IF(Tabla1[[#This Row],[Categoria]]="C",2000,1200)))</calculatedColumnFormula>
    </tableColumn>
    <tableColumn id="18" xr3:uid="{3B571534-DE33-4C76-90F0-9E7A8D82EC36}" name="Satisfaccion" dataDxfId="4"/>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Ramirez_Alfredo@gmail.com" TargetMode="External"/><Relationship Id="rId13" Type="http://schemas.openxmlformats.org/officeDocument/2006/relationships/hyperlink" Target="mailto:Martinez_Angelica@gmail.com" TargetMode="External"/><Relationship Id="rId18" Type="http://schemas.openxmlformats.org/officeDocument/2006/relationships/hyperlink" Target="mailto:Contreras_Cecilia@gmail.com" TargetMode="External"/><Relationship Id="rId26" Type="http://schemas.openxmlformats.org/officeDocument/2006/relationships/hyperlink" Target="mailto:Gardu&#241;o_David@gmail.com" TargetMode="External"/><Relationship Id="rId3" Type="http://schemas.openxmlformats.org/officeDocument/2006/relationships/hyperlink" Target="mailto:Oviedo.25@hotmail.com" TargetMode="External"/><Relationship Id="rId21" Type="http://schemas.openxmlformats.org/officeDocument/2006/relationships/hyperlink" Target="mailto:Ortega_Cristina@gmail.com" TargetMode="External"/><Relationship Id="rId7" Type="http://schemas.openxmlformats.org/officeDocument/2006/relationships/hyperlink" Target="mailto:Ortiz_Alejo@gmail.com" TargetMode="External"/><Relationship Id="rId12" Type="http://schemas.openxmlformats.org/officeDocument/2006/relationships/hyperlink" Target="mailto:Mejia_Anahy@gmail.com" TargetMode="External"/><Relationship Id="rId17" Type="http://schemas.openxmlformats.org/officeDocument/2006/relationships/hyperlink" Target="mailto:Ramires_Magdalena@gmail.com" TargetMode="External"/><Relationship Id="rId25" Type="http://schemas.openxmlformats.org/officeDocument/2006/relationships/hyperlink" Target="mailto:Rodriguez_Daniela@gmail.com" TargetMode="External"/><Relationship Id="rId2" Type="http://schemas.openxmlformats.org/officeDocument/2006/relationships/hyperlink" Target="mailto:sunnyjazmin@hotmail.com" TargetMode="External"/><Relationship Id="rId16" Type="http://schemas.openxmlformats.org/officeDocument/2006/relationships/hyperlink" Target="mailto:Garcia_Ariel@gmail.com" TargetMode="External"/><Relationship Id="rId20" Type="http://schemas.openxmlformats.org/officeDocument/2006/relationships/hyperlink" Target="mailto:Hernandez_Ivonne@gmail.com" TargetMode="External"/><Relationship Id="rId29" Type="http://schemas.openxmlformats.org/officeDocument/2006/relationships/table" Target="../tables/table1.xml"/><Relationship Id="rId1" Type="http://schemas.openxmlformats.org/officeDocument/2006/relationships/hyperlink" Target="mailto:jose.lopez@gmail.com" TargetMode="External"/><Relationship Id="rId6" Type="http://schemas.openxmlformats.org/officeDocument/2006/relationships/hyperlink" Target="mailto:Borges_Addys@gmail.com" TargetMode="External"/><Relationship Id="rId11" Type="http://schemas.openxmlformats.org/officeDocument/2006/relationships/hyperlink" Target="mailto:Garcia_Cristina@gmail.com" TargetMode="External"/><Relationship Id="rId24" Type="http://schemas.openxmlformats.org/officeDocument/2006/relationships/hyperlink" Target="mailto:Dominguez_Daniel@gmail.com" TargetMode="External"/><Relationship Id="rId5" Type="http://schemas.openxmlformats.org/officeDocument/2006/relationships/hyperlink" Target="mailto:Rosario_Abiyeli@gmail.com" TargetMode="External"/><Relationship Id="rId15" Type="http://schemas.openxmlformats.org/officeDocument/2006/relationships/hyperlink" Target="mailto:Lopez_Antonieta@gmail.com" TargetMode="External"/><Relationship Id="rId23" Type="http://schemas.openxmlformats.org/officeDocument/2006/relationships/hyperlink" Target="mailto:Moreno_Daniel@gmail.com" TargetMode="External"/><Relationship Id="rId28" Type="http://schemas.openxmlformats.org/officeDocument/2006/relationships/drawing" Target="../drawings/drawing2.xml"/><Relationship Id="rId10" Type="http://schemas.openxmlformats.org/officeDocument/2006/relationships/hyperlink" Target="mailto:Delgadillo_Amadeo@gmail.com" TargetMode="External"/><Relationship Id="rId19" Type="http://schemas.openxmlformats.org/officeDocument/2006/relationships/hyperlink" Target="mailto:Esquivel_Claudia@gmail.com" TargetMode="External"/><Relationship Id="rId4" Type="http://schemas.openxmlformats.org/officeDocument/2006/relationships/hyperlink" Target="mailto:Perez_jesus@gmail.com" TargetMode="External"/><Relationship Id="rId9" Type="http://schemas.openxmlformats.org/officeDocument/2006/relationships/hyperlink" Target="mailto:Loredo_Delia@gmail.com" TargetMode="External"/><Relationship Id="rId14" Type="http://schemas.openxmlformats.org/officeDocument/2006/relationships/hyperlink" Target="mailto:Juarez_Noemi@gmail.com" TargetMode="External"/><Relationship Id="rId22" Type="http://schemas.openxmlformats.org/officeDocument/2006/relationships/hyperlink" Target="mailto:Tapia_Desiree@gmail.com" TargetMode="External"/><Relationship Id="rId27" Type="http://schemas.openxmlformats.org/officeDocument/2006/relationships/hyperlink" Target="mailto:Romero_Diana@gmail.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79FD1-7BB7-487D-A1E4-393A0DDC36DB}">
  <sheetPr codeName="Hoja5"/>
  <dimension ref="A2:Q57"/>
  <sheetViews>
    <sheetView showGridLines="0" tabSelected="1" zoomScale="70" zoomScaleNormal="70" workbookViewId="0">
      <selection activeCell="M92" sqref="M92"/>
    </sheetView>
  </sheetViews>
  <sheetFormatPr baseColWidth="10" defaultRowHeight="15" x14ac:dyDescent="0.25"/>
  <cols>
    <col min="15" max="15" width="25.85546875" bestFit="1" customWidth="1"/>
  </cols>
  <sheetData>
    <row r="2" spans="1:17" ht="21" x14ac:dyDescent="0.35">
      <c r="O2" s="48">
        <f ca="1">TODAY()</f>
        <v>45734</v>
      </c>
      <c r="P2" s="48"/>
      <c r="Q2" s="48"/>
    </row>
    <row r="4" spans="1:17" ht="21" x14ac:dyDescent="0.35">
      <c r="A4" s="46" t="s">
        <v>191</v>
      </c>
      <c r="B4" s="46" t="s">
        <v>192</v>
      </c>
      <c r="C4" s="46"/>
      <c r="D4" s="47"/>
    </row>
    <row r="10" spans="1:17" x14ac:dyDescent="0.25">
      <c r="A10" s="21" t="s">
        <v>193</v>
      </c>
      <c r="B10" s="21"/>
    </row>
    <row r="11" spans="1:17" x14ac:dyDescent="0.25">
      <c r="A11" s="21" t="s">
        <v>194</v>
      </c>
    </row>
    <row r="12" spans="1:17" x14ac:dyDescent="0.25">
      <c r="A12" t="s">
        <v>195</v>
      </c>
    </row>
    <row r="35" spans="1:3" x14ac:dyDescent="0.25">
      <c r="A35" s="21" t="s">
        <v>196</v>
      </c>
    </row>
    <row r="36" spans="1:3" ht="21" x14ac:dyDescent="0.35">
      <c r="A36" t="s">
        <v>197</v>
      </c>
    </row>
    <row r="37" spans="1:3" x14ac:dyDescent="0.25">
      <c r="A37" t="s">
        <v>198</v>
      </c>
    </row>
    <row r="39" spans="1:3" ht="36" x14ac:dyDescent="0.55000000000000004">
      <c r="C39" s="49" t="s">
        <v>199</v>
      </c>
    </row>
    <row r="42" spans="1:3" ht="18.75" x14ac:dyDescent="0.3">
      <c r="A42" s="45" t="s">
        <v>200</v>
      </c>
    </row>
    <row r="43" spans="1:3" x14ac:dyDescent="0.25">
      <c r="A43" t="s">
        <v>201</v>
      </c>
    </row>
    <row r="50" spans="1:1" ht="15.75" x14ac:dyDescent="0.25">
      <c r="A50" t="s">
        <v>203</v>
      </c>
    </row>
    <row r="51" spans="1:1" ht="15.75" x14ac:dyDescent="0.25">
      <c r="A51" t="s">
        <v>204</v>
      </c>
    </row>
    <row r="52" spans="1:1" ht="15.75" x14ac:dyDescent="0.25">
      <c r="A52" t="s">
        <v>205</v>
      </c>
    </row>
    <row r="55" spans="1:1" x14ac:dyDescent="0.25">
      <c r="A55" s="21" t="s">
        <v>202</v>
      </c>
    </row>
    <row r="56" spans="1:1" x14ac:dyDescent="0.25">
      <c r="A56" t="s">
        <v>206</v>
      </c>
    </row>
    <row r="57" spans="1:1" x14ac:dyDescent="0.25">
      <c r="A57" t="s">
        <v>207</v>
      </c>
    </row>
  </sheetData>
  <mergeCells count="1">
    <mergeCell ref="O2:Q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EED11-9C7A-4199-A5C4-07E6FE446C05}">
  <sheetPr codeName="Hoja1">
    <tabColor rgb="FF153068"/>
  </sheetPr>
  <dimension ref="A1:S38"/>
  <sheetViews>
    <sheetView zoomScale="80" zoomScaleNormal="80" workbookViewId="0">
      <pane ySplit="4" topLeftCell="A5" activePane="bottomLeft" state="frozen"/>
      <selection pane="bottomLeft" activeCell="G16" sqref="G16"/>
    </sheetView>
  </sheetViews>
  <sheetFormatPr baseColWidth="10" defaultRowHeight="15" x14ac:dyDescent="0.25"/>
  <cols>
    <col min="1" max="1" width="11.42578125" style="1"/>
    <col min="2" max="2" width="12.85546875" style="6" customWidth="1"/>
    <col min="3" max="3" width="12" style="6" customWidth="1"/>
    <col min="4" max="4" width="42.85546875" style="6" customWidth="1"/>
    <col min="5" max="5" width="15.42578125" bestFit="1" customWidth="1"/>
    <col min="6" max="6" width="12.85546875" style="6" bestFit="1" customWidth="1"/>
    <col min="7" max="7" width="16.85546875" style="6" bestFit="1" customWidth="1"/>
    <col min="8" max="8" width="20.7109375" style="12" bestFit="1" customWidth="1"/>
    <col min="9" max="9" width="6.42578125" bestFit="1" customWidth="1"/>
    <col min="10" max="10" width="41.85546875" style="6" bestFit="1" customWidth="1"/>
    <col min="11" max="11" width="36.5703125" style="6" bestFit="1" customWidth="1"/>
    <col min="12" max="12" width="32.7109375" style="6" bestFit="1" customWidth="1"/>
    <col min="13" max="13" width="16.85546875" bestFit="1" customWidth="1"/>
    <col min="14" max="14" width="16.85546875" style="6" bestFit="1" customWidth="1"/>
    <col min="15" max="15" width="12.85546875" style="6" bestFit="1" customWidth="1"/>
    <col min="16" max="17" width="16.85546875" style="6" bestFit="1" customWidth="1"/>
    <col min="18" max="18" width="18.140625" style="9" bestFit="1" customWidth="1"/>
    <col min="19" max="19" width="30" bestFit="1" customWidth="1"/>
  </cols>
  <sheetData>
    <row r="1" spans="2:19" s="1" customFormat="1" x14ac:dyDescent="0.25"/>
    <row r="2" spans="2:19" s="1" customFormat="1" ht="27.75" thickBot="1" x14ac:dyDescent="0.35">
      <c r="B2" s="3" t="s">
        <v>14</v>
      </c>
      <c r="C2" s="3"/>
      <c r="D2" s="3"/>
      <c r="E2" s="10"/>
      <c r="F2" s="10"/>
      <c r="P2" s="34">
        <f ca="1">TODAY()</f>
        <v>45734</v>
      </c>
      <c r="Q2" s="34"/>
      <c r="R2" s="34"/>
    </row>
    <row r="3" spans="2:19" s="1" customFormat="1" ht="15.75" thickTop="1" x14ac:dyDescent="0.25"/>
    <row r="4" spans="2:19" ht="19.5" x14ac:dyDescent="0.5">
      <c r="B4" s="2" t="s">
        <v>7</v>
      </c>
      <c r="C4" s="2" t="s">
        <v>6</v>
      </c>
      <c r="D4" s="2" t="s">
        <v>5</v>
      </c>
      <c r="E4" s="2" t="s">
        <v>0</v>
      </c>
      <c r="F4" s="2" t="s">
        <v>4</v>
      </c>
      <c r="G4" s="2" t="s">
        <v>1</v>
      </c>
      <c r="H4" s="2" t="s">
        <v>2</v>
      </c>
      <c r="I4" s="2" t="s">
        <v>3</v>
      </c>
      <c r="J4" s="2" t="s">
        <v>159</v>
      </c>
      <c r="K4" s="2" t="s">
        <v>9</v>
      </c>
      <c r="L4" s="2" t="s">
        <v>8</v>
      </c>
      <c r="M4" s="2" t="s">
        <v>34</v>
      </c>
      <c r="N4" s="2" t="s">
        <v>10</v>
      </c>
      <c r="O4" s="2" t="s">
        <v>11</v>
      </c>
      <c r="P4" s="2" t="s">
        <v>12</v>
      </c>
      <c r="Q4" s="2" t="s">
        <v>13</v>
      </c>
      <c r="R4" s="2" t="s">
        <v>35</v>
      </c>
      <c r="S4" s="2" t="s">
        <v>172</v>
      </c>
    </row>
    <row r="5" spans="2:19" ht="19.5" x14ac:dyDescent="0.5">
      <c r="B5" s="5" t="s">
        <v>15</v>
      </c>
      <c r="C5" s="5">
        <v>17100</v>
      </c>
      <c r="D5" s="5" t="s">
        <v>17</v>
      </c>
      <c r="E5" s="4">
        <v>10201476</v>
      </c>
      <c r="F5" s="5" t="s">
        <v>19</v>
      </c>
      <c r="G5" s="5" t="s">
        <v>21</v>
      </c>
      <c r="H5" s="11">
        <v>42738</v>
      </c>
      <c r="I5" s="4">
        <v>21</v>
      </c>
      <c r="J5" s="5" t="s">
        <v>164</v>
      </c>
      <c r="K5" s="7" t="s">
        <v>22</v>
      </c>
      <c r="L5" s="5" t="s">
        <v>156</v>
      </c>
      <c r="M5" s="4">
        <v>974612536</v>
      </c>
      <c r="N5" s="5" t="s">
        <v>26</v>
      </c>
      <c r="O5" s="5" t="s">
        <v>30</v>
      </c>
      <c r="P5" s="5" t="s">
        <v>31</v>
      </c>
      <c r="Q5" s="5" t="s">
        <v>32</v>
      </c>
      <c r="R5" s="8">
        <f>IF(Tabla1[[#This Row],[Categoria]]="A",3500,IF(Tabla1[[#This Row],[Categoria]]="B",2700,IF(Tabla1[[#This Row],[Categoria]]="C",2000,1200)))</f>
        <v>1200</v>
      </c>
      <c r="S5" s="5" t="s">
        <v>173</v>
      </c>
    </row>
    <row r="6" spans="2:19" ht="19.5" x14ac:dyDescent="0.5">
      <c r="B6" s="5" t="s">
        <v>16</v>
      </c>
      <c r="C6" s="5">
        <v>17101</v>
      </c>
      <c r="D6" s="5" t="s">
        <v>18</v>
      </c>
      <c r="E6" s="4">
        <v>66544463</v>
      </c>
      <c r="F6" s="5" t="s">
        <v>20</v>
      </c>
      <c r="G6" s="5" t="s">
        <v>21</v>
      </c>
      <c r="H6" s="11">
        <v>42746</v>
      </c>
      <c r="I6" s="4">
        <v>18</v>
      </c>
      <c r="J6" s="5" t="s">
        <v>166</v>
      </c>
      <c r="K6" s="7" t="s">
        <v>23</v>
      </c>
      <c r="L6" s="5" t="s">
        <v>24</v>
      </c>
      <c r="M6" s="4">
        <v>975362764</v>
      </c>
      <c r="N6" s="5" t="s">
        <v>27</v>
      </c>
      <c r="O6" s="5" t="s">
        <v>29</v>
      </c>
      <c r="P6" s="5" t="s">
        <v>33</v>
      </c>
      <c r="Q6" s="5" t="s">
        <v>32</v>
      </c>
      <c r="R6" s="8">
        <f>IF(Tabla1[[#This Row],[Categoria]]="A",3500,IF(Tabla1[[#This Row],[Categoria]]="B",2700,IF(Tabla1[[#This Row],[Categoria]]="C",2000,1200)))</f>
        <v>3500</v>
      </c>
      <c r="S6" s="5" t="s">
        <v>174</v>
      </c>
    </row>
    <row r="7" spans="2:19" ht="19.5" x14ac:dyDescent="0.5">
      <c r="B7" s="5" t="s">
        <v>47</v>
      </c>
      <c r="C7" s="5">
        <v>17102</v>
      </c>
      <c r="D7" s="5" t="s">
        <v>45</v>
      </c>
      <c r="E7" s="4">
        <v>77536466</v>
      </c>
      <c r="F7" s="5" t="s">
        <v>19</v>
      </c>
      <c r="G7" s="5" t="s">
        <v>21</v>
      </c>
      <c r="H7" s="11">
        <v>42746</v>
      </c>
      <c r="I7" s="4">
        <v>22</v>
      </c>
      <c r="J7" s="5" t="s">
        <v>164</v>
      </c>
      <c r="K7" s="7" t="s">
        <v>37</v>
      </c>
      <c r="L7" s="5" t="s">
        <v>156</v>
      </c>
      <c r="M7" s="4">
        <v>975812316</v>
      </c>
      <c r="N7" s="5" t="s">
        <v>27</v>
      </c>
      <c r="O7" s="5" t="s">
        <v>36</v>
      </c>
      <c r="P7" s="5" t="s">
        <v>31</v>
      </c>
      <c r="Q7" s="5" t="s">
        <v>32</v>
      </c>
      <c r="R7" s="8">
        <f>IF(Tabla1[[#This Row],[Categoria]]="A",3500,IF(Tabla1[[#This Row],[Categoria]]="B",2700,IF(Tabla1[[#This Row],[Categoria]]="C",2000,1200)))</f>
        <v>2700</v>
      </c>
      <c r="S7" s="5" t="s">
        <v>175</v>
      </c>
    </row>
    <row r="8" spans="2:19" ht="19.5" x14ac:dyDescent="0.5">
      <c r="B8" s="5" t="s">
        <v>48</v>
      </c>
      <c r="C8" s="5">
        <v>17103</v>
      </c>
      <c r="D8" s="5" t="s">
        <v>38</v>
      </c>
      <c r="E8" s="4">
        <v>36742633</v>
      </c>
      <c r="F8" s="5" t="s">
        <v>20</v>
      </c>
      <c r="G8" s="5" t="s">
        <v>42</v>
      </c>
      <c r="H8" s="11">
        <v>42749</v>
      </c>
      <c r="I8" s="4">
        <v>19</v>
      </c>
      <c r="J8" s="5" t="s">
        <v>165</v>
      </c>
      <c r="K8" s="7" t="s">
        <v>40</v>
      </c>
      <c r="L8" s="5" t="s">
        <v>41</v>
      </c>
      <c r="M8" s="4">
        <v>974726152</v>
      </c>
      <c r="N8" s="5" t="s">
        <v>44</v>
      </c>
      <c r="O8" s="5" t="s">
        <v>28</v>
      </c>
      <c r="P8" s="5" t="s">
        <v>33</v>
      </c>
      <c r="Q8" s="5" t="s">
        <v>43</v>
      </c>
      <c r="R8" s="8">
        <f>IF(Tabla1[[#This Row],[Categoria]]="A",3500,IF(Tabla1[[#This Row],[Categoria]]="B",2700,IF(Tabla1[[#This Row],[Categoria]]="C",2000,1200)))</f>
        <v>2000</v>
      </c>
      <c r="S8" s="5" t="s">
        <v>173</v>
      </c>
    </row>
    <row r="9" spans="2:19" ht="19.5" x14ac:dyDescent="0.5">
      <c r="B9" s="5" t="s">
        <v>63</v>
      </c>
      <c r="C9" s="5">
        <v>17104</v>
      </c>
      <c r="D9" s="5" t="s">
        <v>49</v>
      </c>
      <c r="E9" s="4">
        <v>33445322</v>
      </c>
      <c r="F9" s="5" t="s">
        <v>20</v>
      </c>
      <c r="G9" s="5" t="s">
        <v>52</v>
      </c>
      <c r="H9" s="11">
        <v>42769</v>
      </c>
      <c r="I9" s="4">
        <v>21</v>
      </c>
      <c r="J9" s="5" t="s">
        <v>167</v>
      </c>
      <c r="K9" s="7" t="s">
        <v>50</v>
      </c>
      <c r="L9" s="5" t="s">
        <v>51</v>
      </c>
      <c r="M9" s="4">
        <v>987453234</v>
      </c>
      <c r="N9" s="5" t="s">
        <v>26</v>
      </c>
      <c r="O9" s="5" t="s">
        <v>29</v>
      </c>
      <c r="P9" s="5" t="s">
        <v>33</v>
      </c>
      <c r="Q9" s="5" t="s">
        <v>32</v>
      </c>
      <c r="R9" s="8">
        <f>IF(Tabla1[[#This Row],[Categoria]]="A",3500,IF(Tabla1[[#This Row],[Categoria]]="B",2700,IF(Tabla1[[#This Row],[Categoria]]="C",2000,1200)))</f>
        <v>3500</v>
      </c>
      <c r="S9" s="5" t="s">
        <v>173</v>
      </c>
    </row>
    <row r="10" spans="2:19" ht="19.5" x14ac:dyDescent="0.5">
      <c r="B10" s="5" t="s">
        <v>64</v>
      </c>
      <c r="C10" s="5">
        <v>17105</v>
      </c>
      <c r="D10" s="5" t="s">
        <v>53</v>
      </c>
      <c r="E10" s="4">
        <v>55646533</v>
      </c>
      <c r="F10" s="5" t="s">
        <v>20</v>
      </c>
      <c r="G10" s="5" t="s">
        <v>42</v>
      </c>
      <c r="H10" s="11" t="s">
        <v>54</v>
      </c>
      <c r="I10" s="4">
        <v>18</v>
      </c>
      <c r="J10" s="5" t="s">
        <v>168</v>
      </c>
      <c r="K10" s="7" t="s">
        <v>55</v>
      </c>
      <c r="L10" s="5" t="s">
        <v>56</v>
      </c>
      <c r="M10" s="4">
        <v>975612345</v>
      </c>
      <c r="N10" s="5" t="s">
        <v>27</v>
      </c>
      <c r="O10" s="5" t="s">
        <v>28</v>
      </c>
      <c r="P10" s="5" t="s">
        <v>31</v>
      </c>
      <c r="Q10" s="5" t="s">
        <v>43</v>
      </c>
      <c r="R10" s="8">
        <f>IF(Tabla1[[#This Row],[Categoria]]="A",3500,IF(Tabla1[[#This Row],[Categoria]]="B",2700,IF(Tabla1[[#This Row],[Categoria]]="C",2000,1200)))</f>
        <v>2000</v>
      </c>
      <c r="S10" s="5" t="s">
        <v>173</v>
      </c>
    </row>
    <row r="11" spans="2:19" ht="19.5" x14ac:dyDescent="0.5">
      <c r="B11" s="5" t="s">
        <v>65</v>
      </c>
      <c r="C11" s="5">
        <v>17106</v>
      </c>
      <c r="D11" s="5" t="s">
        <v>57</v>
      </c>
      <c r="E11" s="4">
        <v>55647677</v>
      </c>
      <c r="F11" s="5" t="s">
        <v>19</v>
      </c>
      <c r="G11" s="5" t="s">
        <v>21</v>
      </c>
      <c r="H11" s="11">
        <v>42780</v>
      </c>
      <c r="I11" s="4">
        <v>21</v>
      </c>
      <c r="J11" s="5" t="s">
        <v>168</v>
      </c>
      <c r="K11" s="7" t="s">
        <v>58</v>
      </c>
      <c r="L11" s="5" t="s">
        <v>59</v>
      </c>
      <c r="M11" s="4">
        <v>999456345</v>
      </c>
      <c r="N11" s="5" t="s">
        <v>26</v>
      </c>
      <c r="O11" s="5" t="s">
        <v>36</v>
      </c>
      <c r="P11" s="5" t="s">
        <v>31</v>
      </c>
      <c r="Q11" s="5" t="s">
        <v>32</v>
      </c>
      <c r="R11" s="8">
        <f>IF(Tabla1[[#This Row],[Categoria]]="A",3500,IF(Tabla1[[#This Row],[Categoria]]="B",2700,IF(Tabla1[[#This Row],[Categoria]]="C",2000,1200)))</f>
        <v>2700</v>
      </c>
      <c r="S11" s="5" t="s">
        <v>173</v>
      </c>
    </row>
    <row r="12" spans="2:19" ht="19.5" x14ac:dyDescent="0.5">
      <c r="B12" s="5" t="s">
        <v>66</v>
      </c>
      <c r="C12" s="5">
        <v>17107</v>
      </c>
      <c r="D12" s="5" t="s">
        <v>60</v>
      </c>
      <c r="E12" s="4">
        <v>55676566</v>
      </c>
      <c r="F12" s="5" t="s">
        <v>19</v>
      </c>
      <c r="G12" s="5" t="s">
        <v>52</v>
      </c>
      <c r="H12" s="11">
        <v>42770</v>
      </c>
      <c r="I12" s="4">
        <v>22</v>
      </c>
      <c r="J12" s="5" t="s">
        <v>169</v>
      </c>
      <c r="K12" s="7" t="s">
        <v>61</v>
      </c>
      <c r="L12" s="5" t="s">
        <v>62</v>
      </c>
      <c r="M12" s="4">
        <v>964536263</v>
      </c>
      <c r="N12" s="5" t="s">
        <v>44</v>
      </c>
      <c r="O12" s="5" t="s">
        <v>29</v>
      </c>
      <c r="P12" s="5" t="s">
        <v>33</v>
      </c>
      <c r="Q12" s="5" t="s">
        <v>32</v>
      </c>
      <c r="R12" s="8">
        <f>IF(Tabla1[[#This Row],[Categoria]]="A",3500,IF(Tabla1[[#This Row],[Categoria]]="B",2700,IF(Tabla1[[#This Row],[Categoria]]="C",2000,1200)))</f>
        <v>3500</v>
      </c>
      <c r="S12" s="5" t="s">
        <v>173</v>
      </c>
    </row>
    <row r="13" spans="2:19" ht="19.5" x14ac:dyDescent="0.5">
      <c r="B13" s="5" t="s">
        <v>75</v>
      </c>
      <c r="C13" s="5">
        <v>17108</v>
      </c>
      <c r="D13" s="5" t="s">
        <v>77</v>
      </c>
      <c r="E13" s="4">
        <v>55767677</v>
      </c>
      <c r="F13" s="5" t="s">
        <v>19</v>
      </c>
      <c r="G13" s="5" t="s">
        <v>21</v>
      </c>
      <c r="H13" s="11">
        <v>42820</v>
      </c>
      <c r="I13" s="4">
        <v>25</v>
      </c>
      <c r="J13" s="5" t="s">
        <v>169</v>
      </c>
      <c r="K13" s="7" t="s">
        <v>79</v>
      </c>
      <c r="L13" s="5" t="s">
        <v>41</v>
      </c>
      <c r="M13" s="4">
        <v>999453345</v>
      </c>
      <c r="N13" s="5" t="s">
        <v>26</v>
      </c>
      <c r="O13" s="5" t="s">
        <v>36</v>
      </c>
      <c r="P13" s="5" t="s">
        <v>31</v>
      </c>
      <c r="Q13" s="5" t="s">
        <v>32</v>
      </c>
      <c r="R13" s="8">
        <f>IF(Tabla1[[#This Row],[Categoria]]="A",3500,IF(Tabla1[[#This Row],[Categoria]]="B",2700,IF(Tabla1[[#This Row],[Categoria]]="C",2000,1200)))</f>
        <v>2700</v>
      </c>
      <c r="S13" s="5" t="s">
        <v>173</v>
      </c>
    </row>
    <row r="14" spans="2:19" ht="19.5" x14ac:dyDescent="0.5">
      <c r="B14" s="5" t="s">
        <v>76</v>
      </c>
      <c r="C14" s="5">
        <v>17109</v>
      </c>
      <c r="D14" s="5" t="s">
        <v>78</v>
      </c>
      <c r="E14" s="4">
        <v>55647666</v>
      </c>
      <c r="F14" s="5" t="s">
        <v>19</v>
      </c>
      <c r="G14" s="5" t="s">
        <v>52</v>
      </c>
      <c r="H14" s="11">
        <v>42819</v>
      </c>
      <c r="I14" s="4">
        <v>24</v>
      </c>
      <c r="J14" s="5" t="s">
        <v>164</v>
      </c>
      <c r="K14" s="7" t="s">
        <v>80</v>
      </c>
      <c r="L14" s="5" t="s">
        <v>156</v>
      </c>
      <c r="M14" s="4">
        <v>964544263</v>
      </c>
      <c r="N14" s="5" t="s">
        <v>44</v>
      </c>
      <c r="O14" s="5" t="s">
        <v>29</v>
      </c>
      <c r="P14" s="5" t="s">
        <v>33</v>
      </c>
      <c r="Q14" s="5" t="s">
        <v>32</v>
      </c>
      <c r="R14" s="8">
        <f>IF(Tabla1[[#This Row],[Categoria]]="A",3500,IF(Tabla1[[#This Row],[Categoria]]="B",2700,IF(Tabla1[[#This Row],[Categoria]]="C",2000,1200)))</f>
        <v>3500</v>
      </c>
      <c r="S14" s="5" t="s">
        <v>173</v>
      </c>
    </row>
    <row r="15" spans="2:19" ht="19.5" x14ac:dyDescent="0.5">
      <c r="B15" s="5" t="s">
        <v>105</v>
      </c>
      <c r="C15" s="5">
        <v>17110</v>
      </c>
      <c r="D15" s="5" t="s">
        <v>82</v>
      </c>
      <c r="E15" s="4">
        <v>14584732</v>
      </c>
      <c r="F15" s="5" t="s">
        <v>20</v>
      </c>
      <c r="G15" s="5" t="s">
        <v>21</v>
      </c>
      <c r="H15" s="11">
        <v>42738</v>
      </c>
      <c r="I15" s="4">
        <v>20</v>
      </c>
      <c r="J15" s="5" t="s">
        <v>167</v>
      </c>
      <c r="K15" s="7" t="s">
        <v>128</v>
      </c>
      <c r="L15" s="4" t="s">
        <v>151</v>
      </c>
      <c r="M15" s="4">
        <v>987462113</v>
      </c>
      <c r="N15" s="5" t="s">
        <v>44</v>
      </c>
      <c r="O15" s="5" t="s">
        <v>29</v>
      </c>
      <c r="P15" s="5" t="s">
        <v>33</v>
      </c>
      <c r="Q15" s="5" t="s">
        <v>32</v>
      </c>
      <c r="R15" s="8">
        <f>IF(Tabla1[[#This Row],[Categoria]]="A",3500,IF(Tabla1[[#This Row],[Categoria]]="B",2700,IF(Tabla1[[#This Row],[Categoria]]="C",2000,1200)))</f>
        <v>3500</v>
      </c>
      <c r="S15" s="5" t="s">
        <v>173</v>
      </c>
    </row>
    <row r="16" spans="2:19" ht="19.5" x14ac:dyDescent="0.5">
      <c r="B16" s="5" t="s">
        <v>106</v>
      </c>
      <c r="C16" s="5">
        <v>17111</v>
      </c>
      <c r="D16" s="5" t="s">
        <v>83</v>
      </c>
      <c r="E16" s="4">
        <v>87364773</v>
      </c>
      <c r="F16" s="5" t="s">
        <v>20</v>
      </c>
      <c r="G16" s="5" t="s">
        <v>21</v>
      </c>
      <c r="H16" s="11">
        <v>42746</v>
      </c>
      <c r="I16" s="4">
        <v>20</v>
      </c>
      <c r="J16" s="5" t="s">
        <v>167</v>
      </c>
      <c r="K16" s="7" t="s">
        <v>129</v>
      </c>
      <c r="L16" s="4" t="s">
        <v>152</v>
      </c>
      <c r="M16" s="4">
        <v>987465372</v>
      </c>
      <c r="N16" s="5" t="s">
        <v>44</v>
      </c>
      <c r="O16" s="5" t="s">
        <v>36</v>
      </c>
      <c r="P16" s="5" t="s">
        <v>33</v>
      </c>
      <c r="Q16" s="5" t="s">
        <v>32</v>
      </c>
      <c r="R16" s="8">
        <f>IF(Tabla1[[#This Row],[Categoria]]="A",3500,IF(Tabla1[[#This Row],[Categoria]]="B",2700,IF(Tabla1[[#This Row],[Categoria]]="C",2000,1200)))</f>
        <v>2700</v>
      </c>
      <c r="S16" s="5" t="s">
        <v>173</v>
      </c>
    </row>
    <row r="17" spans="2:19" ht="19.5" x14ac:dyDescent="0.5">
      <c r="B17" s="5" t="s">
        <v>107</v>
      </c>
      <c r="C17" s="5">
        <v>17112</v>
      </c>
      <c r="D17" s="5" t="s">
        <v>84</v>
      </c>
      <c r="E17" s="4">
        <v>88733643</v>
      </c>
      <c r="F17" s="5" t="s">
        <v>19</v>
      </c>
      <c r="G17" s="5" t="s">
        <v>21</v>
      </c>
      <c r="H17" s="11">
        <v>42746</v>
      </c>
      <c r="I17" s="4">
        <v>20</v>
      </c>
      <c r="J17" s="5" t="s">
        <v>167</v>
      </c>
      <c r="K17" s="7" t="s">
        <v>130</v>
      </c>
      <c r="L17" s="4" t="s">
        <v>51</v>
      </c>
      <c r="M17" s="4">
        <v>911876311</v>
      </c>
      <c r="N17" s="5" t="s">
        <v>44</v>
      </c>
      <c r="O17" s="5" t="s">
        <v>28</v>
      </c>
      <c r="P17" s="5" t="s">
        <v>33</v>
      </c>
      <c r="Q17" s="5" t="s">
        <v>32</v>
      </c>
      <c r="R17" s="8">
        <f>IF(Tabla1[[#This Row],[Categoria]]="A",3500,IF(Tabla1[[#This Row],[Categoria]]="B",2700,IF(Tabla1[[#This Row],[Categoria]]="C",2000,1200)))</f>
        <v>2000</v>
      </c>
      <c r="S17" s="5" t="s">
        <v>173</v>
      </c>
    </row>
    <row r="18" spans="2:19" ht="19.5" x14ac:dyDescent="0.5">
      <c r="B18" s="5" t="s">
        <v>108</v>
      </c>
      <c r="C18" s="5">
        <v>17113</v>
      </c>
      <c r="D18" s="5" t="s">
        <v>85</v>
      </c>
      <c r="E18" s="4">
        <v>76712098</v>
      </c>
      <c r="F18" s="5" t="s">
        <v>19</v>
      </c>
      <c r="G18" s="5" t="s">
        <v>21</v>
      </c>
      <c r="H18" s="11">
        <v>42749</v>
      </c>
      <c r="I18" s="4">
        <v>19</v>
      </c>
      <c r="J18" s="5" t="s">
        <v>165</v>
      </c>
      <c r="K18" s="7" t="s">
        <v>131</v>
      </c>
      <c r="L18" s="4" t="s">
        <v>153</v>
      </c>
      <c r="M18" s="4">
        <v>980576747</v>
      </c>
      <c r="N18" s="5" t="s">
        <v>44</v>
      </c>
      <c r="O18" s="5" t="s">
        <v>30</v>
      </c>
      <c r="P18" s="5" t="s">
        <v>33</v>
      </c>
      <c r="Q18" s="5" t="s">
        <v>32</v>
      </c>
      <c r="R18" s="8">
        <f>IF(Tabla1[[#This Row],[Categoria]]="A",3500,IF(Tabla1[[#This Row],[Categoria]]="B",2700,IF(Tabla1[[#This Row],[Categoria]]="C",2000,1200)))</f>
        <v>1200</v>
      </c>
      <c r="S18" s="5" t="s">
        <v>173</v>
      </c>
    </row>
    <row r="19" spans="2:19" ht="19.5" x14ac:dyDescent="0.5">
      <c r="B19" s="5" t="s">
        <v>109</v>
      </c>
      <c r="C19" s="5">
        <v>17114</v>
      </c>
      <c r="D19" s="5" t="s">
        <v>86</v>
      </c>
      <c r="E19" s="4">
        <v>10938473</v>
      </c>
      <c r="F19" s="5" t="s">
        <v>20</v>
      </c>
      <c r="G19" s="5" t="s">
        <v>21</v>
      </c>
      <c r="H19" s="11">
        <v>42769</v>
      </c>
      <c r="I19" s="4">
        <v>19</v>
      </c>
      <c r="J19" s="5" t="s">
        <v>165</v>
      </c>
      <c r="K19" s="7" t="s">
        <v>132</v>
      </c>
      <c r="L19" s="4" t="s">
        <v>59</v>
      </c>
      <c r="M19" s="4">
        <v>990876255</v>
      </c>
      <c r="N19" s="5" t="s">
        <v>44</v>
      </c>
      <c r="O19" s="5" t="s">
        <v>29</v>
      </c>
      <c r="P19" s="5" t="s">
        <v>33</v>
      </c>
      <c r="Q19" s="5" t="s">
        <v>32</v>
      </c>
      <c r="R19" s="8">
        <f>IF(Tabla1[[#This Row],[Categoria]]="A",3500,IF(Tabla1[[#This Row],[Categoria]]="B",2700,IF(Tabla1[[#This Row],[Categoria]]="C",2000,1200)))</f>
        <v>3500</v>
      </c>
      <c r="S19" s="5" t="s">
        <v>174</v>
      </c>
    </row>
    <row r="20" spans="2:19" ht="19.5" x14ac:dyDescent="0.5">
      <c r="B20" s="5" t="s">
        <v>110</v>
      </c>
      <c r="C20" s="5">
        <v>17115</v>
      </c>
      <c r="D20" s="5" t="s">
        <v>87</v>
      </c>
      <c r="E20" s="4">
        <v>10983743</v>
      </c>
      <c r="F20" s="5" t="s">
        <v>19</v>
      </c>
      <c r="G20" s="5" t="s">
        <v>42</v>
      </c>
      <c r="H20" s="11" t="s">
        <v>158</v>
      </c>
      <c r="I20" s="4">
        <v>17</v>
      </c>
      <c r="J20" s="5" t="s">
        <v>164</v>
      </c>
      <c r="K20" s="7" t="s">
        <v>133</v>
      </c>
      <c r="L20" s="4" t="s">
        <v>154</v>
      </c>
      <c r="M20" s="4">
        <v>911028717</v>
      </c>
      <c r="N20" s="5" t="s">
        <v>26</v>
      </c>
      <c r="O20" s="5" t="s">
        <v>28</v>
      </c>
      <c r="P20" s="5" t="s">
        <v>31</v>
      </c>
      <c r="Q20" s="5" t="s">
        <v>32</v>
      </c>
      <c r="R20" s="8">
        <f>IF(Tabla1[[#This Row],[Categoria]]="A",3500,IF(Tabla1[[#This Row],[Categoria]]="B",2700,IF(Tabla1[[#This Row],[Categoria]]="C",2000,1200)))</f>
        <v>2000</v>
      </c>
      <c r="S20" s="5" t="s">
        <v>174</v>
      </c>
    </row>
    <row r="21" spans="2:19" ht="19.5" x14ac:dyDescent="0.5">
      <c r="B21" s="5" t="s">
        <v>111</v>
      </c>
      <c r="C21" s="5">
        <v>17116</v>
      </c>
      <c r="D21" s="5" t="s">
        <v>88</v>
      </c>
      <c r="E21" s="4">
        <v>87394873</v>
      </c>
      <c r="F21" s="5" t="s">
        <v>20</v>
      </c>
      <c r="G21" s="5" t="s">
        <v>52</v>
      </c>
      <c r="H21" s="11">
        <v>42780</v>
      </c>
      <c r="I21" s="4">
        <v>17</v>
      </c>
      <c r="J21" s="5" t="s">
        <v>164</v>
      </c>
      <c r="K21" s="7" t="s">
        <v>134</v>
      </c>
      <c r="L21" s="4" t="s">
        <v>156</v>
      </c>
      <c r="M21" s="4">
        <v>998408553</v>
      </c>
      <c r="N21" s="5" t="s">
        <v>26</v>
      </c>
      <c r="O21" s="5" t="s">
        <v>29</v>
      </c>
      <c r="P21" s="5" t="s">
        <v>31</v>
      </c>
      <c r="Q21" s="5" t="s">
        <v>43</v>
      </c>
      <c r="R21" s="8">
        <f>IF(Tabla1[[#This Row],[Categoria]]="A",3500,IF(Tabla1[[#This Row],[Categoria]]="B",2700,IF(Tabla1[[#This Row],[Categoria]]="C",2000,1200)))</f>
        <v>3500</v>
      </c>
      <c r="S21" s="5" t="s">
        <v>175</v>
      </c>
    </row>
    <row r="22" spans="2:19" ht="19.5" x14ac:dyDescent="0.5">
      <c r="B22" s="5" t="s">
        <v>112</v>
      </c>
      <c r="C22" s="5">
        <v>17117</v>
      </c>
      <c r="D22" s="5" t="s">
        <v>89</v>
      </c>
      <c r="E22" s="4">
        <v>99844322</v>
      </c>
      <c r="F22" s="5" t="s">
        <v>20</v>
      </c>
      <c r="G22" s="5" t="s">
        <v>52</v>
      </c>
      <c r="H22" s="11">
        <v>42770</v>
      </c>
      <c r="I22" s="4">
        <v>18</v>
      </c>
      <c r="J22" s="5" t="s">
        <v>169</v>
      </c>
      <c r="K22" s="7" t="s">
        <v>135</v>
      </c>
      <c r="L22" s="4" t="s">
        <v>24</v>
      </c>
      <c r="M22" s="4">
        <v>972131022</v>
      </c>
      <c r="N22" s="5" t="s">
        <v>26</v>
      </c>
      <c r="O22" s="5" t="s">
        <v>29</v>
      </c>
      <c r="P22" s="5" t="s">
        <v>33</v>
      </c>
      <c r="Q22" s="5" t="s">
        <v>43</v>
      </c>
      <c r="R22" s="8">
        <f>IF(Tabla1[[#This Row],[Categoria]]="A",3500,IF(Tabla1[[#This Row],[Categoria]]="B",2700,IF(Tabla1[[#This Row],[Categoria]]="C",2000,1200)))</f>
        <v>3500</v>
      </c>
      <c r="S22" s="5" t="s">
        <v>175</v>
      </c>
    </row>
    <row r="23" spans="2:19" ht="19.5" x14ac:dyDescent="0.5">
      <c r="B23" s="5" t="s">
        <v>113</v>
      </c>
      <c r="C23" s="5">
        <v>17118</v>
      </c>
      <c r="D23" s="5" t="s">
        <v>90</v>
      </c>
      <c r="E23" s="4">
        <v>76489234</v>
      </c>
      <c r="F23" s="5" t="s">
        <v>20</v>
      </c>
      <c r="G23" s="5" t="s">
        <v>21</v>
      </c>
      <c r="H23" s="11">
        <v>42820</v>
      </c>
      <c r="I23" s="4">
        <v>22</v>
      </c>
      <c r="J23" s="5" t="s">
        <v>169</v>
      </c>
      <c r="K23" s="7" t="s">
        <v>136</v>
      </c>
      <c r="L23" s="4" t="s">
        <v>157</v>
      </c>
      <c r="M23" s="4">
        <v>988608763</v>
      </c>
      <c r="N23" s="5" t="s">
        <v>27</v>
      </c>
      <c r="O23" s="5" t="s">
        <v>28</v>
      </c>
      <c r="P23" s="5" t="s">
        <v>33</v>
      </c>
      <c r="Q23" s="5" t="s">
        <v>43</v>
      </c>
      <c r="R23" s="8">
        <f>IF(Tabla1[[#This Row],[Categoria]]="A",3500,IF(Tabla1[[#This Row],[Categoria]]="B",2700,IF(Tabla1[[#This Row],[Categoria]]="C",2000,1200)))</f>
        <v>2000</v>
      </c>
      <c r="S23" s="5" t="s">
        <v>175</v>
      </c>
    </row>
    <row r="24" spans="2:19" ht="19.5" x14ac:dyDescent="0.5">
      <c r="B24" s="5" t="s">
        <v>114</v>
      </c>
      <c r="C24" s="5">
        <v>17119</v>
      </c>
      <c r="D24" s="5" t="s">
        <v>91</v>
      </c>
      <c r="E24" s="4">
        <v>36472938</v>
      </c>
      <c r="F24" s="5" t="s">
        <v>20</v>
      </c>
      <c r="G24" s="5" t="s">
        <v>21</v>
      </c>
      <c r="H24" s="11">
        <v>42819</v>
      </c>
      <c r="I24" s="4">
        <v>24</v>
      </c>
      <c r="J24" s="5" t="s">
        <v>166</v>
      </c>
      <c r="K24" s="7" t="s">
        <v>137</v>
      </c>
      <c r="L24" s="4" t="s">
        <v>56</v>
      </c>
      <c r="M24" s="4">
        <v>911252433</v>
      </c>
      <c r="N24" s="5" t="s">
        <v>27</v>
      </c>
      <c r="O24" s="5" t="s">
        <v>36</v>
      </c>
      <c r="P24" s="5" t="s">
        <v>33</v>
      </c>
      <c r="Q24" s="5" t="s">
        <v>32</v>
      </c>
      <c r="R24" s="8">
        <f>IF(Tabla1[[#This Row],[Categoria]]="A",3500,IF(Tabla1[[#This Row],[Categoria]]="B",2700,IF(Tabla1[[#This Row],[Categoria]]="C",2000,1200)))</f>
        <v>2700</v>
      </c>
      <c r="S24" s="5" t="s">
        <v>175</v>
      </c>
    </row>
    <row r="25" spans="2:19" ht="19.5" x14ac:dyDescent="0.5">
      <c r="B25" s="5" t="s">
        <v>115</v>
      </c>
      <c r="C25" s="5">
        <v>17120</v>
      </c>
      <c r="D25" s="5" t="s">
        <v>92</v>
      </c>
      <c r="E25" s="4">
        <v>65643273</v>
      </c>
      <c r="F25" s="5" t="s">
        <v>20</v>
      </c>
      <c r="G25" s="5" t="s">
        <v>21</v>
      </c>
      <c r="H25" s="11">
        <v>43103</v>
      </c>
      <c r="I25" s="4">
        <v>25</v>
      </c>
      <c r="J25" s="5" t="s">
        <v>166</v>
      </c>
      <c r="K25" s="7" t="s">
        <v>138</v>
      </c>
      <c r="L25" s="4" t="s">
        <v>62</v>
      </c>
      <c r="M25" s="4">
        <v>987654321</v>
      </c>
      <c r="N25" s="5" t="s">
        <v>27</v>
      </c>
      <c r="O25" s="5" t="s">
        <v>36</v>
      </c>
      <c r="P25" s="5" t="s">
        <v>33</v>
      </c>
      <c r="Q25" s="5" t="s">
        <v>32</v>
      </c>
      <c r="R25" s="8">
        <f>IF(Tabla1[[#This Row],[Categoria]]="A",3500,IF(Tabla1[[#This Row],[Categoria]]="B",2700,IF(Tabla1[[#This Row],[Categoria]]="C",2000,1200)))</f>
        <v>2700</v>
      </c>
      <c r="S25" s="5" t="s">
        <v>173</v>
      </c>
    </row>
    <row r="26" spans="2:19" ht="19.5" x14ac:dyDescent="0.5">
      <c r="B26" s="5" t="s">
        <v>116</v>
      </c>
      <c r="C26" s="5">
        <v>17121</v>
      </c>
      <c r="D26" s="5" t="s">
        <v>93</v>
      </c>
      <c r="E26" s="4">
        <v>77664323</v>
      </c>
      <c r="F26" s="5" t="s">
        <v>19</v>
      </c>
      <c r="G26" s="5" t="s">
        <v>21</v>
      </c>
      <c r="H26" s="11">
        <v>43111</v>
      </c>
      <c r="I26" s="4">
        <v>21</v>
      </c>
      <c r="J26" s="5" t="s">
        <v>166</v>
      </c>
      <c r="K26" s="7" t="s">
        <v>139</v>
      </c>
      <c r="L26" s="4" t="s">
        <v>155</v>
      </c>
      <c r="M26" s="4">
        <v>912345678</v>
      </c>
      <c r="N26" s="5" t="s">
        <v>44</v>
      </c>
      <c r="O26" s="5" t="s">
        <v>30</v>
      </c>
      <c r="P26" s="5" t="s">
        <v>33</v>
      </c>
      <c r="Q26" s="5" t="s">
        <v>43</v>
      </c>
      <c r="R26" s="8">
        <f>IF(Tabla1[[#This Row],[Categoria]]="A",3500,IF(Tabla1[[#This Row],[Categoria]]="B",2700,IF(Tabla1[[#This Row],[Categoria]]="C",2000,1200)))</f>
        <v>1200</v>
      </c>
      <c r="S26" s="5" t="s">
        <v>173</v>
      </c>
    </row>
    <row r="27" spans="2:19" ht="19.5" x14ac:dyDescent="0.5">
      <c r="B27" s="5" t="s">
        <v>117</v>
      </c>
      <c r="C27" s="5">
        <v>17122</v>
      </c>
      <c r="D27" s="5" t="s">
        <v>104</v>
      </c>
      <c r="E27" s="4">
        <v>73643723</v>
      </c>
      <c r="F27" s="5" t="s">
        <v>20</v>
      </c>
      <c r="G27" s="5" t="s">
        <v>21</v>
      </c>
      <c r="H27" s="11">
        <v>43111</v>
      </c>
      <c r="I27" s="4">
        <v>21</v>
      </c>
      <c r="J27" s="5" t="s">
        <v>168</v>
      </c>
      <c r="K27" s="7" t="s">
        <v>140</v>
      </c>
      <c r="L27" s="4" t="s">
        <v>152</v>
      </c>
      <c r="M27" s="4">
        <v>912306513</v>
      </c>
      <c r="N27" s="5" t="s">
        <v>44</v>
      </c>
      <c r="O27" s="5" t="s">
        <v>30</v>
      </c>
      <c r="P27" s="5" t="s">
        <v>31</v>
      </c>
      <c r="Q27" s="5" t="s">
        <v>32</v>
      </c>
      <c r="R27" s="8">
        <f>IF(Tabla1[[#This Row],[Categoria]]="A",3500,IF(Tabla1[[#This Row],[Categoria]]="B",2700,IF(Tabla1[[#This Row],[Categoria]]="C",2000,1200)))</f>
        <v>1200</v>
      </c>
      <c r="S27" s="5" t="s">
        <v>173</v>
      </c>
    </row>
    <row r="28" spans="2:19" ht="19.5" x14ac:dyDescent="0.5">
      <c r="B28" s="5" t="s">
        <v>118</v>
      </c>
      <c r="C28" s="5">
        <v>17123</v>
      </c>
      <c r="D28" s="5" t="s">
        <v>94</v>
      </c>
      <c r="E28" s="4">
        <v>73483647</v>
      </c>
      <c r="F28" s="5" t="s">
        <v>20</v>
      </c>
      <c r="G28" s="5" t="s">
        <v>21</v>
      </c>
      <c r="H28" s="11">
        <v>43114</v>
      </c>
      <c r="I28" s="4">
        <v>20</v>
      </c>
      <c r="J28" s="5" t="s">
        <v>168</v>
      </c>
      <c r="K28" s="7" t="s">
        <v>141</v>
      </c>
      <c r="L28" s="4" t="s">
        <v>51</v>
      </c>
      <c r="M28" s="4">
        <v>912873643</v>
      </c>
      <c r="N28" s="5" t="s">
        <v>44</v>
      </c>
      <c r="O28" s="5" t="s">
        <v>30</v>
      </c>
      <c r="P28" s="5" t="s">
        <v>31</v>
      </c>
      <c r="Q28" s="5" t="s">
        <v>32</v>
      </c>
      <c r="R28" s="8">
        <f>IF(Tabla1[[#This Row],[Categoria]]="A",3500,IF(Tabla1[[#This Row],[Categoria]]="B",2700,IF(Tabla1[[#This Row],[Categoria]]="C",2000,1200)))</f>
        <v>1200</v>
      </c>
      <c r="S28" s="5" t="s">
        <v>173</v>
      </c>
    </row>
    <row r="29" spans="2:19" ht="19.5" x14ac:dyDescent="0.5">
      <c r="B29" s="5" t="s">
        <v>119</v>
      </c>
      <c r="C29" s="5">
        <v>17124</v>
      </c>
      <c r="D29" s="5" t="s">
        <v>95</v>
      </c>
      <c r="E29" s="4">
        <v>13746637</v>
      </c>
      <c r="F29" s="5" t="s">
        <v>20</v>
      </c>
      <c r="G29" s="5" t="s">
        <v>21</v>
      </c>
      <c r="H29" s="11">
        <v>43134</v>
      </c>
      <c r="I29" s="4">
        <v>19</v>
      </c>
      <c r="J29" s="5" t="s">
        <v>167</v>
      </c>
      <c r="K29" s="7" t="s">
        <v>142</v>
      </c>
      <c r="L29" s="4" t="s">
        <v>153</v>
      </c>
      <c r="M29" s="4">
        <v>987073773</v>
      </c>
      <c r="N29" s="5" t="s">
        <v>44</v>
      </c>
      <c r="O29" s="5" t="s">
        <v>36</v>
      </c>
      <c r="P29" s="5" t="s">
        <v>31</v>
      </c>
      <c r="Q29" s="5" t="s">
        <v>32</v>
      </c>
      <c r="R29" s="8">
        <f>IF(Tabla1[[#This Row],[Categoria]]="A",3500,IF(Tabla1[[#This Row],[Categoria]]="B",2700,IF(Tabla1[[#This Row],[Categoria]]="C",2000,1200)))</f>
        <v>2700</v>
      </c>
      <c r="S29" s="5" t="s">
        <v>173</v>
      </c>
    </row>
    <row r="30" spans="2:19" ht="19.5" x14ac:dyDescent="0.5">
      <c r="B30" s="5" t="s">
        <v>120</v>
      </c>
      <c r="C30" s="5">
        <v>17125</v>
      </c>
      <c r="D30" s="5" t="s">
        <v>96</v>
      </c>
      <c r="E30" s="4">
        <v>13774837</v>
      </c>
      <c r="F30" s="5" t="s">
        <v>20</v>
      </c>
      <c r="G30" s="5" t="s">
        <v>21</v>
      </c>
      <c r="H30" s="11">
        <v>43149</v>
      </c>
      <c r="I30" s="4">
        <v>19</v>
      </c>
      <c r="J30" s="5" t="s">
        <v>167</v>
      </c>
      <c r="K30" s="7" t="s">
        <v>143</v>
      </c>
      <c r="L30" s="4" t="s">
        <v>59</v>
      </c>
      <c r="M30" s="4">
        <v>987463512</v>
      </c>
      <c r="N30" s="5" t="s">
        <v>44</v>
      </c>
      <c r="O30" s="5" t="s">
        <v>29</v>
      </c>
      <c r="P30" s="5" t="s">
        <v>33</v>
      </c>
      <c r="Q30" s="5" t="s">
        <v>32</v>
      </c>
      <c r="R30" s="8">
        <f>IF(Tabla1[[#This Row],[Categoria]]="A",3500,IF(Tabla1[[#This Row],[Categoria]]="B",2700,IF(Tabla1[[#This Row],[Categoria]]="C",2000,1200)))</f>
        <v>3500</v>
      </c>
      <c r="S30" s="5" t="s">
        <v>174</v>
      </c>
    </row>
    <row r="31" spans="2:19" ht="19.5" x14ac:dyDescent="0.5">
      <c r="B31" s="5" t="s">
        <v>121</v>
      </c>
      <c r="C31" s="5">
        <v>17126</v>
      </c>
      <c r="D31" s="5" t="s">
        <v>97</v>
      </c>
      <c r="E31" s="4">
        <v>37348766</v>
      </c>
      <c r="F31" s="5" t="s">
        <v>20</v>
      </c>
      <c r="G31" s="5" t="s">
        <v>21</v>
      </c>
      <c r="H31" s="11">
        <v>43145</v>
      </c>
      <c r="I31" s="4">
        <v>20</v>
      </c>
      <c r="J31" s="5" t="s">
        <v>164</v>
      </c>
      <c r="K31" s="7" t="s">
        <v>144</v>
      </c>
      <c r="L31" s="4" t="s">
        <v>154</v>
      </c>
      <c r="M31" s="4">
        <v>987635473</v>
      </c>
      <c r="N31" s="5" t="s">
        <v>26</v>
      </c>
      <c r="O31" s="5" t="s">
        <v>29</v>
      </c>
      <c r="P31" s="5" t="s">
        <v>33</v>
      </c>
      <c r="Q31" s="5" t="s">
        <v>32</v>
      </c>
      <c r="R31" s="8">
        <f>IF(Tabla1[[#This Row],[Categoria]]="A",3500,IF(Tabla1[[#This Row],[Categoria]]="B",2700,IF(Tabla1[[#This Row],[Categoria]]="C",2000,1200)))</f>
        <v>3500</v>
      </c>
      <c r="S31" s="5" t="s">
        <v>175</v>
      </c>
    </row>
    <row r="32" spans="2:19" ht="19.5" x14ac:dyDescent="0.5">
      <c r="B32" s="5" t="s">
        <v>122</v>
      </c>
      <c r="C32" s="5">
        <v>17127</v>
      </c>
      <c r="D32" s="5" t="s">
        <v>98</v>
      </c>
      <c r="E32" s="4">
        <v>47384673</v>
      </c>
      <c r="F32" s="5" t="s">
        <v>20</v>
      </c>
      <c r="G32" s="5" t="s">
        <v>42</v>
      </c>
      <c r="H32" s="11">
        <v>43135</v>
      </c>
      <c r="I32" s="4">
        <v>20</v>
      </c>
      <c r="J32" s="5" t="s">
        <v>168</v>
      </c>
      <c r="K32" s="7" t="s">
        <v>145</v>
      </c>
      <c r="L32" s="4" t="s">
        <v>156</v>
      </c>
      <c r="M32" s="4">
        <v>910017473</v>
      </c>
      <c r="N32" s="5" t="s">
        <v>26</v>
      </c>
      <c r="O32" s="5" t="s">
        <v>36</v>
      </c>
      <c r="P32" s="5" t="s">
        <v>33</v>
      </c>
      <c r="Q32" s="5" t="s">
        <v>32</v>
      </c>
      <c r="R32" s="8">
        <f>IF(Tabla1[[#This Row],[Categoria]]="A",3500,IF(Tabla1[[#This Row],[Categoria]]="B",2700,IF(Tabla1[[#This Row],[Categoria]]="C",2000,1200)))</f>
        <v>2700</v>
      </c>
      <c r="S32" s="5" t="s">
        <v>175</v>
      </c>
    </row>
    <row r="33" spans="2:19" ht="19.5" x14ac:dyDescent="0.5">
      <c r="B33" s="5" t="s">
        <v>123</v>
      </c>
      <c r="C33" s="5">
        <v>17128</v>
      </c>
      <c r="D33" s="5" t="s">
        <v>99</v>
      </c>
      <c r="E33" s="4">
        <v>73648733</v>
      </c>
      <c r="F33" s="5" t="s">
        <v>19</v>
      </c>
      <c r="G33" s="5" t="s">
        <v>21</v>
      </c>
      <c r="H33" s="11">
        <v>43550</v>
      </c>
      <c r="I33" s="4">
        <v>22</v>
      </c>
      <c r="J33" s="5" t="s">
        <v>165</v>
      </c>
      <c r="K33" s="7" t="s">
        <v>146</v>
      </c>
      <c r="L33" s="4" t="s">
        <v>24</v>
      </c>
      <c r="M33" s="4">
        <v>988374527</v>
      </c>
      <c r="N33" s="5" t="s">
        <v>26</v>
      </c>
      <c r="O33" s="5" t="s">
        <v>28</v>
      </c>
      <c r="P33" s="5" t="s">
        <v>33</v>
      </c>
      <c r="Q33" s="5" t="s">
        <v>32</v>
      </c>
      <c r="R33" s="8">
        <f>IF(Tabla1[[#This Row],[Categoria]]="A",3500,IF(Tabla1[[#This Row],[Categoria]]="B",2700,IF(Tabla1[[#This Row],[Categoria]]="C",2000,1200)))</f>
        <v>2000</v>
      </c>
      <c r="S33" s="5" t="s">
        <v>173</v>
      </c>
    </row>
    <row r="34" spans="2:19" ht="19.5" x14ac:dyDescent="0.5">
      <c r="B34" s="5" t="s">
        <v>124</v>
      </c>
      <c r="C34" s="5">
        <v>17129</v>
      </c>
      <c r="D34" s="5" t="s">
        <v>100</v>
      </c>
      <c r="E34" s="4">
        <v>37846346</v>
      </c>
      <c r="F34" s="5" t="s">
        <v>19</v>
      </c>
      <c r="G34" s="5" t="s">
        <v>21</v>
      </c>
      <c r="H34" s="11">
        <v>43549</v>
      </c>
      <c r="I34" s="4">
        <v>22</v>
      </c>
      <c r="J34" s="5" t="s">
        <v>165</v>
      </c>
      <c r="K34" s="7" t="s">
        <v>147</v>
      </c>
      <c r="L34" s="4" t="s">
        <v>157</v>
      </c>
      <c r="M34" s="4">
        <v>983745373</v>
      </c>
      <c r="N34" s="5" t="s">
        <v>26</v>
      </c>
      <c r="O34" s="5" t="s">
        <v>30</v>
      </c>
      <c r="P34" s="5" t="s">
        <v>31</v>
      </c>
      <c r="Q34" s="5" t="s">
        <v>32</v>
      </c>
      <c r="R34" s="8">
        <f>IF(Tabla1[[#This Row],[Categoria]]="A",3500,IF(Tabla1[[#This Row],[Categoria]]="B",2700,IF(Tabla1[[#This Row],[Categoria]]="C",2000,1200)))</f>
        <v>1200</v>
      </c>
      <c r="S34" s="5" t="s">
        <v>173</v>
      </c>
    </row>
    <row r="35" spans="2:19" ht="19.5" x14ac:dyDescent="0.5">
      <c r="B35" s="5" t="s">
        <v>125</v>
      </c>
      <c r="C35" s="5">
        <v>17130</v>
      </c>
      <c r="D35" s="5" t="s">
        <v>101</v>
      </c>
      <c r="E35" s="4">
        <v>77463049</v>
      </c>
      <c r="F35" s="5" t="s">
        <v>20</v>
      </c>
      <c r="G35" s="5" t="s">
        <v>21</v>
      </c>
      <c r="H35" s="11">
        <v>43468</v>
      </c>
      <c r="I35" s="4">
        <v>21</v>
      </c>
      <c r="J35" s="5" t="s">
        <v>164</v>
      </c>
      <c r="K35" s="7" t="s">
        <v>148</v>
      </c>
      <c r="L35" s="4" t="s">
        <v>56</v>
      </c>
      <c r="M35" s="4">
        <v>982877655</v>
      </c>
      <c r="N35" s="5" t="s">
        <v>26</v>
      </c>
      <c r="O35" s="5" t="s">
        <v>29</v>
      </c>
      <c r="P35" s="5" t="s">
        <v>31</v>
      </c>
      <c r="Q35" s="5" t="s">
        <v>32</v>
      </c>
      <c r="R35" s="8">
        <f>IF(Tabla1[[#This Row],[Categoria]]="A",3500,IF(Tabla1[[#This Row],[Categoria]]="B",2700,IF(Tabla1[[#This Row],[Categoria]]="C",2000,1200)))</f>
        <v>3500</v>
      </c>
      <c r="S35" s="5" t="s">
        <v>173</v>
      </c>
    </row>
    <row r="36" spans="2:19" ht="19.5" x14ac:dyDescent="0.5">
      <c r="B36" s="5" t="s">
        <v>126</v>
      </c>
      <c r="C36" s="5">
        <v>17131</v>
      </c>
      <c r="D36" s="5" t="s">
        <v>102</v>
      </c>
      <c r="E36" s="4">
        <v>94838749</v>
      </c>
      <c r="F36" s="5" t="s">
        <v>19</v>
      </c>
      <c r="G36" s="5" t="s">
        <v>52</v>
      </c>
      <c r="H36" s="11">
        <v>43476</v>
      </c>
      <c r="I36" s="4">
        <v>20</v>
      </c>
      <c r="J36" s="5" t="s">
        <v>169</v>
      </c>
      <c r="K36" s="7" t="s">
        <v>149</v>
      </c>
      <c r="L36" s="4" t="s">
        <v>62</v>
      </c>
      <c r="M36" s="4">
        <v>915855442</v>
      </c>
      <c r="N36" s="5" t="s">
        <v>27</v>
      </c>
      <c r="O36" s="5" t="s">
        <v>36</v>
      </c>
      <c r="P36" s="5" t="s">
        <v>31</v>
      </c>
      <c r="Q36" s="5" t="s">
        <v>32</v>
      </c>
      <c r="R36" s="8">
        <f>IF(Tabla1[[#This Row],[Categoria]]="A",3500,IF(Tabla1[[#This Row],[Categoria]]="B",2700,IF(Tabla1[[#This Row],[Categoria]]="C",2000,1200)))</f>
        <v>2700</v>
      </c>
      <c r="S36" s="5" t="s">
        <v>173</v>
      </c>
    </row>
    <row r="37" spans="2:19" ht="19.5" x14ac:dyDescent="0.5">
      <c r="B37" s="5" t="s">
        <v>127</v>
      </c>
      <c r="C37" s="5">
        <v>17132</v>
      </c>
      <c r="D37" s="5" t="s">
        <v>103</v>
      </c>
      <c r="E37" s="4">
        <v>34453254</v>
      </c>
      <c r="F37" s="5" t="s">
        <v>20</v>
      </c>
      <c r="G37" s="5" t="s">
        <v>21</v>
      </c>
      <c r="H37" s="11">
        <v>43476</v>
      </c>
      <c r="I37" s="4">
        <v>20</v>
      </c>
      <c r="J37" s="5" t="s">
        <v>166</v>
      </c>
      <c r="K37" s="7" t="s">
        <v>150</v>
      </c>
      <c r="L37" s="4" t="s">
        <v>155</v>
      </c>
      <c r="M37" s="4">
        <v>984631524</v>
      </c>
      <c r="N37" s="5" t="s">
        <v>44</v>
      </c>
      <c r="O37" s="5" t="s">
        <v>28</v>
      </c>
      <c r="P37" s="5" t="s">
        <v>33</v>
      </c>
      <c r="Q37" s="5" t="s">
        <v>43</v>
      </c>
      <c r="R37" s="8">
        <f>IF(Tabla1[[#This Row],[Categoria]]="A",3500,IF(Tabla1[[#This Row],[Categoria]]="B",2700,IF(Tabla1[[#This Row],[Categoria]]="C",2000,1200)))</f>
        <v>2000</v>
      </c>
      <c r="S37" s="5" t="s">
        <v>175</v>
      </c>
    </row>
    <row r="38" spans="2:19" ht="19.5" x14ac:dyDescent="0.5">
      <c r="B38" s="5" t="s">
        <v>163</v>
      </c>
      <c r="C38" s="5">
        <v>17133</v>
      </c>
      <c r="D38" s="5" t="s">
        <v>160</v>
      </c>
      <c r="E38" s="4">
        <v>66545788</v>
      </c>
      <c r="F38" s="5" t="s">
        <v>19</v>
      </c>
      <c r="G38" s="5" t="s">
        <v>52</v>
      </c>
      <c r="H38" s="11" t="s">
        <v>161</v>
      </c>
      <c r="I38" s="4">
        <v>20</v>
      </c>
      <c r="J38" s="5" t="s">
        <v>168</v>
      </c>
      <c r="K38" s="7" t="s">
        <v>162</v>
      </c>
      <c r="L38" s="5" t="s">
        <v>24</v>
      </c>
      <c r="M38" s="4">
        <v>976754632</v>
      </c>
      <c r="N38" s="5" t="s">
        <v>44</v>
      </c>
      <c r="O38" s="5" t="s">
        <v>30</v>
      </c>
      <c r="P38" s="5" t="s">
        <v>31</v>
      </c>
      <c r="Q38" s="5" t="s">
        <v>32</v>
      </c>
      <c r="R38" s="8">
        <f>IF(Tabla1[[#This Row],[Categoria]]="A",3500,IF(Tabla1[[#This Row],[Categoria]]="B",2700,IF(Tabla1[[#This Row],[Categoria]]="C",2000,1200)))</f>
        <v>1200</v>
      </c>
      <c r="S38" s="5" t="s">
        <v>173</v>
      </c>
    </row>
  </sheetData>
  <mergeCells count="1">
    <mergeCell ref="P2:R2"/>
  </mergeCells>
  <phoneticPr fontId="3" type="noConversion"/>
  <hyperlinks>
    <hyperlink ref="K5" r:id="rId1" xr:uid="{DF312E41-07E2-4AB0-893D-86EFB9E448C5}"/>
    <hyperlink ref="K6" r:id="rId2" xr:uid="{BF336B77-8602-40AF-9BA8-6C7AE446C2EC}"/>
    <hyperlink ref="K13" r:id="rId3" xr:uid="{CA3D06EB-E3C9-4D15-A4BB-D48116D2FE3A}"/>
    <hyperlink ref="K14" r:id="rId4" xr:uid="{86B63DA6-38E7-43AC-80CB-B80ED7D74470}"/>
    <hyperlink ref="K15" r:id="rId5" xr:uid="{FF45EDB9-B7A0-4A66-B2C1-A53B29215D97}"/>
    <hyperlink ref="K16" r:id="rId6" xr:uid="{1F2F3639-207F-4BC2-86F1-537238C1EF7A}"/>
    <hyperlink ref="K17" r:id="rId7" xr:uid="{BD700970-8FFD-48C7-8FCC-3EC8C6E4BFB2}"/>
    <hyperlink ref="K18" r:id="rId8" xr:uid="{F87FF602-0283-4076-B7C8-644E038CFF9F}"/>
    <hyperlink ref="K19" r:id="rId9" xr:uid="{6AF33B94-3EE0-4F81-9DA1-47C5172FCD4B}"/>
    <hyperlink ref="K20" r:id="rId10" xr:uid="{C44044B4-13D0-4B10-9604-04F2030A598C}"/>
    <hyperlink ref="K21" r:id="rId11" xr:uid="{E06CF7E3-4F95-4837-9DDB-66DB7C20A997}"/>
    <hyperlink ref="K22" r:id="rId12" xr:uid="{3FD517BE-47B3-4D6F-95D1-02315288CCDF}"/>
    <hyperlink ref="K23" r:id="rId13" xr:uid="{FE572C9F-B944-45B0-AD3D-90DBACBCF906}"/>
    <hyperlink ref="K24" r:id="rId14" xr:uid="{39827142-2763-474F-93A3-FD42DAA55FD1}"/>
    <hyperlink ref="K25" r:id="rId15" xr:uid="{E82AE42D-DF30-4FEB-8FCA-35DA823964A8}"/>
    <hyperlink ref="K26" r:id="rId16" xr:uid="{BEB783BD-6247-4712-933A-D216AC9C4E2A}"/>
    <hyperlink ref="K27" r:id="rId17" xr:uid="{77FDA6BD-F862-48B0-9895-1F6532CE86C4}"/>
    <hyperlink ref="K28" r:id="rId18" xr:uid="{A8FF1AEA-7CF1-4CD4-B8FB-7013206E6B0B}"/>
    <hyperlink ref="K29" r:id="rId19" xr:uid="{0BC1B7B9-6360-45EE-9876-93D1D3135304}"/>
    <hyperlink ref="K30" r:id="rId20" xr:uid="{6DC583F8-C85F-4FFA-8F11-980076A03CC7}"/>
    <hyperlink ref="K31" r:id="rId21" xr:uid="{E83C571E-99E3-4D1B-BE77-15AA1B12D855}"/>
    <hyperlink ref="K32" r:id="rId22" xr:uid="{9F636272-5643-4CB0-ABAD-80E6710BC8B8}"/>
    <hyperlink ref="K33" r:id="rId23" xr:uid="{63F4D4DE-2A5F-473F-8A96-C39D91FEA7C1}"/>
    <hyperlink ref="K34" r:id="rId24" xr:uid="{D82A3BBE-AD4C-4A8B-AC7D-7DD4E8A48642}"/>
    <hyperlink ref="K35" r:id="rId25" xr:uid="{E23B7584-7769-4FCF-B8BB-C10B015F4AD4}"/>
    <hyperlink ref="K36" r:id="rId26" xr:uid="{87B00F1F-2F67-4CF0-AC16-99630DEB0CA1}"/>
    <hyperlink ref="K37" r:id="rId27" xr:uid="{4F0D1A6D-AC16-469C-AEAA-CE86C39CEF7F}"/>
  </hyperlinks>
  <pageMargins left="0.7" right="0.7" top="0.75" bottom="0.75" header="0.3" footer="0.3"/>
  <drawing r:id="rId28"/>
  <tableParts count="1">
    <tablePart r:id="rId2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0C377-3D69-4CAC-ABCE-7997F27080EC}">
  <sheetPr codeName="Hoja2">
    <tabColor rgb="FF1A4779"/>
    <pageSetUpPr fitToPage="1"/>
  </sheetPr>
  <dimension ref="A1:N13"/>
  <sheetViews>
    <sheetView zoomScale="80" zoomScaleNormal="80" workbookViewId="0">
      <selection activeCell="J21" sqref="J21"/>
    </sheetView>
  </sheetViews>
  <sheetFormatPr baseColWidth="10" defaultRowHeight="15" x14ac:dyDescent="0.25"/>
  <cols>
    <col min="1" max="1" width="11.42578125" style="1"/>
    <col min="3" max="3" width="38" bestFit="1" customWidth="1"/>
    <col min="4" max="4" width="11.5703125" bestFit="1" customWidth="1"/>
    <col min="5" max="5" width="22.7109375" customWidth="1"/>
    <col min="6" max="6" width="11.140625" bestFit="1" customWidth="1"/>
    <col min="7" max="7" width="15.5703125" bestFit="1" customWidth="1"/>
    <col min="8" max="8" width="32.7109375" bestFit="1" customWidth="1"/>
    <col min="9" max="9" width="12.85546875" bestFit="1" customWidth="1"/>
    <col min="10" max="10" width="16.85546875" customWidth="1"/>
    <col min="11" max="12" width="12.28515625" bestFit="1" customWidth="1"/>
    <col min="13" max="13" width="13.28515625" bestFit="1" customWidth="1"/>
    <col min="14" max="14" width="18.140625" bestFit="1" customWidth="1"/>
  </cols>
  <sheetData>
    <row r="1" spans="2:14" s="1" customFormat="1" x14ac:dyDescent="0.25"/>
    <row r="2" spans="2:14" s="1" customFormat="1" ht="27.75" thickBot="1" x14ac:dyDescent="0.3">
      <c r="B2" s="35" t="s">
        <v>46</v>
      </c>
      <c r="C2" s="35"/>
      <c r="D2" s="35"/>
    </row>
    <row r="3" spans="2:14" s="1" customFormat="1" ht="15.75" thickTop="1" x14ac:dyDescent="0.25"/>
    <row r="4" spans="2:14" x14ac:dyDescent="0.25">
      <c r="B4" s="26" t="s">
        <v>6</v>
      </c>
      <c r="C4" s="26" t="s">
        <v>13</v>
      </c>
      <c r="D4" s="26" t="s">
        <v>1</v>
      </c>
      <c r="E4" s="26" t="s">
        <v>4</v>
      </c>
      <c r="F4" s="26" t="s">
        <v>11</v>
      </c>
      <c r="G4" s="26" t="s">
        <v>12</v>
      </c>
      <c r="H4" s="36" t="s">
        <v>8</v>
      </c>
      <c r="I4" s="36"/>
    </row>
    <row r="5" spans="2:14" ht="33.75" customHeight="1" x14ac:dyDescent="0.25">
      <c r="B5" s="27"/>
      <c r="C5" s="27"/>
      <c r="D5" s="27"/>
      <c r="E5" s="27" t="s">
        <v>19</v>
      </c>
      <c r="F5" s="27"/>
      <c r="G5" s="27"/>
      <c r="H5" s="37"/>
      <c r="I5" s="37"/>
    </row>
    <row r="7" spans="2:14" ht="24" x14ac:dyDescent="0.4">
      <c r="J7" s="25" t="s">
        <v>67</v>
      </c>
      <c r="K7" s="38">
        <f>SUBTOTAL(9,N10:N338)</f>
        <v>10100</v>
      </c>
      <c r="L7" s="38"/>
    </row>
    <row r="9" spans="2:14" x14ac:dyDescent="0.25">
      <c r="B9" s="24" t="s">
        <v>6</v>
      </c>
      <c r="C9" s="24" t="s">
        <v>5</v>
      </c>
      <c r="D9" s="24" t="s">
        <v>0</v>
      </c>
      <c r="E9" s="24" t="s">
        <v>4</v>
      </c>
      <c r="F9" s="24" t="s">
        <v>1</v>
      </c>
      <c r="G9" s="24" t="s">
        <v>2</v>
      </c>
      <c r="H9" s="24" t="s">
        <v>8</v>
      </c>
      <c r="I9" s="24" t="s">
        <v>34</v>
      </c>
      <c r="J9" s="24" t="s">
        <v>10</v>
      </c>
      <c r="K9" s="24" t="s">
        <v>11</v>
      </c>
      <c r="L9" s="24" t="s">
        <v>12</v>
      </c>
      <c r="M9" s="24" t="s">
        <v>13</v>
      </c>
      <c r="N9" s="24" t="s">
        <v>35</v>
      </c>
    </row>
    <row r="10" spans="2:14" ht="19.5" x14ac:dyDescent="0.5">
      <c r="B10" s="5">
        <v>17100</v>
      </c>
      <c r="C10" s="5" t="s">
        <v>17</v>
      </c>
      <c r="D10" s="4">
        <v>10201476</v>
      </c>
      <c r="E10" s="5" t="s">
        <v>19</v>
      </c>
      <c r="F10" s="5" t="s">
        <v>21</v>
      </c>
      <c r="G10" s="11">
        <v>43042</v>
      </c>
      <c r="H10" s="5" t="s">
        <v>25</v>
      </c>
      <c r="I10" s="4">
        <v>974612536</v>
      </c>
      <c r="J10" s="5" t="s">
        <v>26</v>
      </c>
      <c r="K10" s="5" t="s">
        <v>30</v>
      </c>
      <c r="L10" s="5" t="s">
        <v>31</v>
      </c>
      <c r="M10" s="5" t="s">
        <v>32</v>
      </c>
      <c r="N10" s="8">
        <v>1200</v>
      </c>
    </row>
    <row r="11" spans="2:14" ht="19.5" x14ac:dyDescent="0.5">
      <c r="B11" s="5">
        <v>17102</v>
      </c>
      <c r="C11" s="5" t="s">
        <v>45</v>
      </c>
      <c r="D11" s="4">
        <v>77536466</v>
      </c>
      <c r="E11" s="5" t="s">
        <v>19</v>
      </c>
      <c r="F11" s="5" t="s">
        <v>21</v>
      </c>
      <c r="G11" s="11">
        <v>42805</v>
      </c>
      <c r="H11" s="5" t="s">
        <v>25</v>
      </c>
      <c r="I11" s="4">
        <v>975812316</v>
      </c>
      <c r="J11" s="5" t="s">
        <v>27</v>
      </c>
      <c r="K11" s="5" t="s">
        <v>36</v>
      </c>
      <c r="L11" s="5" t="s">
        <v>31</v>
      </c>
      <c r="M11" s="5" t="s">
        <v>32</v>
      </c>
      <c r="N11" s="8">
        <v>2700</v>
      </c>
    </row>
    <row r="12" spans="2:14" ht="19.5" x14ac:dyDescent="0.5">
      <c r="B12" s="5">
        <v>17106</v>
      </c>
      <c r="C12" s="5" t="s">
        <v>57</v>
      </c>
      <c r="D12" s="4">
        <v>55647677</v>
      </c>
      <c r="E12" s="5" t="s">
        <v>19</v>
      </c>
      <c r="F12" s="5" t="s">
        <v>21</v>
      </c>
      <c r="G12" s="11" t="s">
        <v>39</v>
      </c>
      <c r="H12" s="5" t="s">
        <v>59</v>
      </c>
      <c r="I12" s="4">
        <v>999456345</v>
      </c>
      <c r="J12" s="5" t="s">
        <v>26</v>
      </c>
      <c r="K12" s="5" t="s">
        <v>36</v>
      </c>
      <c r="L12" s="5" t="s">
        <v>31</v>
      </c>
      <c r="M12" s="5" t="s">
        <v>32</v>
      </c>
      <c r="N12" s="8">
        <v>2700</v>
      </c>
    </row>
    <row r="13" spans="2:14" ht="19.5" x14ac:dyDescent="0.5">
      <c r="B13" s="5">
        <v>17107</v>
      </c>
      <c r="C13" s="5" t="s">
        <v>60</v>
      </c>
      <c r="D13" s="4">
        <v>55676566</v>
      </c>
      <c r="E13" s="5" t="s">
        <v>19</v>
      </c>
      <c r="F13" s="5" t="s">
        <v>52</v>
      </c>
      <c r="G13" s="11">
        <v>42829</v>
      </c>
      <c r="H13" s="5" t="s">
        <v>62</v>
      </c>
      <c r="I13" s="4">
        <v>964536263</v>
      </c>
      <c r="J13" s="5" t="s">
        <v>44</v>
      </c>
      <c r="K13" s="5" t="s">
        <v>29</v>
      </c>
      <c r="L13" s="5" t="s">
        <v>33</v>
      </c>
      <c r="M13" s="5" t="s">
        <v>32</v>
      </c>
      <c r="N13" s="8">
        <v>3500</v>
      </c>
    </row>
  </sheetData>
  <mergeCells count="4">
    <mergeCell ref="B2:D2"/>
    <mergeCell ref="H4:I4"/>
    <mergeCell ref="H5:I5"/>
    <mergeCell ref="K7:L7"/>
  </mergeCells>
  <dataValidations count="6">
    <dataValidation type="list" allowBlank="1" showInputMessage="1" showErrorMessage="1" sqref="C5" xr:uid="{2BB59CEF-2238-4E00-BF03-A902D78E7C03}">
      <formula1>"SI,NO"</formula1>
    </dataValidation>
    <dataValidation type="list" allowBlank="1" showInputMessage="1" showErrorMessage="1" sqref="G5" xr:uid="{417E2866-62DD-4A8A-8573-FC5BFC8F805E}">
      <formula1>"Privado,Estatal"</formula1>
    </dataValidation>
    <dataValidation type="list" allowBlank="1" showInputMessage="1" showErrorMessage="1" sqref="F5" xr:uid="{D0029416-21AF-4B2C-BAF6-4DF5ECFE54DA}">
      <formula1>"A,B,C,D"</formula1>
    </dataValidation>
    <dataValidation type="list" allowBlank="1" showInputMessage="1" showErrorMessage="1" sqref="D5" xr:uid="{ACD883EA-B269-40E7-B7DC-92E1DEC8DD11}">
      <formula1>"Soltero,Casado,Otro"</formula1>
    </dataValidation>
    <dataValidation type="list" allowBlank="1" showInputMessage="1" showErrorMessage="1" sqref="E5" xr:uid="{0882B1CE-E070-4F47-93DE-5A900F56CB30}">
      <formula1>"Masculino,Femenino"</formula1>
    </dataValidation>
    <dataValidation type="list" allowBlank="1" showInputMessage="1" showErrorMessage="1" sqref="H5:I5" xr:uid="{9DDF2310-86F6-45C1-99AB-45DE716AB3B9}">
      <formula1>"Administracion de Empresas, Arquitectura, Ciencias de la Salud, Ciencias Humanas, Comunicaciones, Derecho, Diseño, Economia, Educacion, Ingenieria, Negocios Internacionales, Psicologia"</formula1>
    </dataValidation>
  </dataValidations>
  <pageMargins left="0.70866141732283472" right="0.70866141732283472" top="0.74803149606299213" bottom="0.74803149606299213" header="0.31496062992125984" footer="0.31496062992125984"/>
  <pageSetup paperSize="9" scale="55"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7597C-1560-4F82-9E4D-D6C1C8093EE8}">
  <sheetPr codeName="Hoja4">
    <tabColor rgb="FF47A8C2"/>
  </sheetPr>
  <dimension ref="A1:Z50"/>
  <sheetViews>
    <sheetView zoomScale="85" zoomScaleNormal="85" workbookViewId="0">
      <selection activeCell="P28" sqref="P28"/>
    </sheetView>
  </sheetViews>
  <sheetFormatPr baseColWidth="10" defaultRowHeight="15" x14ac:dyDescent="0.25"/>
  <cols>
    <col min="1" max="1" width="4.42578125" customWidth="1"/>
  </cols>
  <sheetData>
    <row r="1" spans="1:26" x14ac:dyDescent="0.25">
      <c r="A1" s="1"/>
      <c r="B1" s="1"/>
      <c r="C1" s="1"/>
      <c r="D1" s="1"/>
      <c r="E1" s="1"/>
      <c r="F1" s="1"/>
      <c r="G1" s="1"/>
      <c r="H1" s="1"/>
      <c r="I1" s="1"/>
      <c r="J1" s="1"/>
      <c r="K1" s="1"/>
      <c r="L1" s="1"/>
      <c r="M1" s="1"/>
      <c r="N1" s="1"/>
      <c r="O1" s="1"/>
      <c r="P1" s="1"/>
      <c r="Q1" s="1"/>
      <c r="R1" s="1"/>
      <c r="S1" s="1"/>
      <c r="T1" s="1"/>
      <c r="U1" s="1"/>
      <c r="V1" s="1"/>
      <c r="W1" s="1"/>
      <c r="X1" s="1"/>
      <c r="Y1" s="1"/>
      <c r="Z1" s="1"/>
    </row>
    <row r="2" spans="1:26" x14ac:dyDescent="0.25">
      <c r="A2" s="1"/>
      <c r="B2" s="1"/>
      <c r="C2" s="1"/>
      <c r="D2" s="1"/>
      <c r="E2" s="1"/>
      <c r="F2" s="1"/>
      <c r="G2" s="1"/>
      <c r="H2" s="1"/>
      <c r="I2" s="1"/>
      <c r="J2" s="1"/>
      <c r="K2" s="1"/>
      <c r="L2" s="1"/>
      <c r="M2" s="1"/>
      <c r="N2" s="1"/>
      <c r="O2" s="1"/>
      <c r="P2" s="1"/>
      <c r="Q2" s="1"/>
      <c r="R2" s="1"/>
      <c r="S2" s="1"/>
      <c r="T2" s="1"/>
      <c r="U2" s="1"/>
      <c r="V2" s="1"/>
      <c r="W2" s="1"/>
      <c r="X2" s="1"/>
      <c r="Y2" s="1"/>
      <c r="Z2" s="1"/>
    </row>
    <row r="3" spans="1:26" x14ac:dyDescent="0.25">
      <c r="A3" s="1"/>
      <c r="B3" s="1"/>
      <c r="C3" s="1"/>
      <c r="D3" s="1"/>
      <c r="E3" s="1"/>
      <c r="F3" s="1"/>
      <c r="G3" s="1"/>
      <c r="H3" s="1"/>
      <c r="I3" s="1"/>
      <c r="J3" s="1"/>
      <c r="K3" s="1"/>
      <c r="L3" s="1"/>
      <c r="M3" s="1"/>
      <c r="N3" s="1"/>
      <c r="O3" s="1"/>
      <c r="P3" s="1"/>
      <c r="Q3" s="1"/>
      <c r="R3" s="1"/>
      <c r="S3" s="1"/>
      <c r="T3" s="1"/>
      <c r="U3" s="1"/>
      <c r="V3" s="1"/>
      <c r="W3" s="1"/>
      <c r="X3" s="1"/>
      <c r="Y3" s="1"/>
      <c r="Z3" s="1"/>
    </row>
    <row r="4" spans="1:26" x14ac:dyDescent="0.25">
      <c r="A4" s="1"/>
      <c r="B4" s="1"/>
      <c r="C4" s="1"/>
      <c r="D4" s="1"/>
      <c r="E4" s="1"/>
      <c r="F4" s="1"/>
      <c r="G4" s="1"/>
      <c r="H4" s="1"/>
      <c r="I4" s="1"/>
      <c r="J4" s="1"/>
      <c r="K4" s="1"/>
      <c r="L4" s="1"/>
      <c r="M4" s="1"/>
      <c r="N4" s="1"/>
      <c r="O4" s="1"/>
      <c r="P4" s="1"/>
      <c r="Q4" s="1"/>
      <c r="R4" s="1"/>
      <c r="S4" s="1"/>
      <c r="T4" s="1"/>
      <c r="U4" s="1"/>
      <c r="V4" s="1"/>
      <c r="W4" s="1"/>
      <c r="X4" s="1"/>
      <c r="Y4" s="1"/>
      <c r="Z4" s="1"/>
    </row>
    <row r="5" spans="1:26" x14ac:dyDescent="0.25">
      <c r="A5" s="1"/>
      <c r="B5" s="1"/>
      <c r="C5" s="1"/>
      <c r="D5" s="1"/>
      <c r="E5" s="1"/>
      <c r="F5" s="1"/>
      <c r="G5" s="1"/>
      <c r="H5" s="1"/>
      <c r="I5" s="1"/>
      <c r="J5" s="1"/>
      <c r="K5" s="1"/>
      <c r="L5" s="1"/>
      <c r="M5" s="1"/>
      <c r="N5" s="1"/>
      <c r="O5" s="1"/>
      <c r="P5" s="1"/>
      <c r="Q5" s="1"/>
      <c r="R5" s="1"/>
      <c r="S5" s="1"/>
      <c r="T5" s="1"/>
      <c r="U5" s="1"/>
      <c r="V5" s="1"/>
      <c r="W5" s="1"/>
      <c r="X5" s="1"/>
      <c r="Y5" s="1"/>
      <c r="Z5" s="1"/>
    </row>
    <row r="6" spans="1:26" x14ac:dyDescent="0.25">
      <c r="A6" s="1"/>
      <c r="B6" s="1"/>
      <c r="C6" s="1"/>
      <c r="D6" s="1"/>
      <c r="E6" s="1"/>
      <c r="F6" s="1"/>
      <c r="G6" s="1"/>
      <c r="H6" s="1"/>
      <c r="I6" s="1"/>
      <c r="J6" s="1"/>
      <c r="K6" s="1"/>
      <c r="L6" s="1"/>
      <c r="M6" s="1"/>
      <c r="N6" s="1"/>
      <c r="O6" s="1"/>
      <c r="P6" s="1"/>
      <c r="Q6" s="1"/>
      <c r="R6" s="1"/>
      <c r="S6" s="1"/>
      <c r="T6" s="1"/>
      <c r="U6" s="1"/>
      <c r="V6" s="1"/>
      <c r="W6" s="1"/>
      <c r="X6" s="1"/>
      <c r="Y6" s="1"/>
      <c r="Z6" s="1"/>
    </row>
    <row r="7" spans="1:26" x14ac:dyDescent="0.25">
      <c r="A7" s="1"/>
      <c r="B7" s="1"/>
      <c r="C7" s="1"/>
      <c r="D7" s="1"/>
      <c r="E7" s="1"/>
      <c r="F7" s="1"/>
      <c r="G7" s="1"/>
      <c r="H7" s="1"/>
      <c r="I7" s="1"/>
      <c r="J7" s="1"/>
      <c r="K7" s="1"/>
      <c r="L7" s="1"/>
      <c r="M7" s="1"/>
      <c r="N7" s="1"/>
      <c r="O7" s="1"/>
      <c r="P7" s="1"/>
      <c r="Q7" s="1"/>
      <c r="R7" s="1"/>
      <c r="S7" s="1"/>
      <c r="T7" s="1"/>
      <c r="U7" s="1"/>
      <c r="V7" s="1"/>
      <c r="W7" s="1"/>
      <c r="X7" s="1"/>
      <c r="Y7" s="1"/>
      <c r="Z7" s="1"/>
    </row>
    <row r="8" spans="1:26" x14ac:dyDescent="0.25">
      <c r="A8" s="1"/>
      <c r="B8" s="1"/>
      <c r="C8" s="1"/>
      <c r="D8" s="1"/>
      <c r="E8" s="1"/>
      <c r="F8" s="1"/>
      <c r="G8" s="1"/>
      <c r="H8" s="1"/>
      <c r="I8" s="1"/>
      <c r="J8" s="1"/>
      <c r="K8" s="1"/>
      <c r="L8" s="1"/>
      <c r="M8" s="1"/>
      <c r="N8" s="1"/>
      <c r="O8" s="1"/>
      <c r="P8" s="1"/>
      <c r="Q8" s="1"/>
      <c r="R8" s="1"/>
      <c r="S8" s="1"/>
      <c r="T8" s="1"/>
      <c r="U8" s="1"/>
      <c r="V8" s="1"/>
      <c r="W8" s="1"/>
      <c r="X8" s="1"/>
      <c r="Y8" s="1"/>
      <c r="Z8" s="1"/>
    </row>
    <row r="9" spans="1:26" x14ac:dyDescent="0.25">
      <c r="A9" s="1"/>
      <c r="B9" s="1"/>
      <c r="C9" s="1"/>
      <c r="D9" s="1"/>
      <c r="E9" s="1"/>
      <c r="F9" s="1"/>
      <c r="G9" s="1"/>
      <c r="H9" s="1"/>
      <c r="I9" s="1"/>
      <c r="J9" s="1"/>
      <c r="K9" s="1"/>
      <c r="L9" s="1"/>
      <c r="M9" s="1"/>
      <c r="N9" s="1"/>
      <c r="O9" s="1"/>
      <c r="P9" s="1"/>
      <c r="Q9" s="1"/>
      <c r="R9" s="1"/>
      <c r="S9" s="1"/>
      <c r="T9" s="1"/>
      <c r="U9" s="1"/>
      <c r="V9" s="1"/>
      <c r="W9" s="1"/>
      <c r="X9" s="1"/>
      <c r="Y9" s="1"/>
      <c r="Z9" s="1"/>
    </row>
    <row r="10" spans="1:26" x14ac:dyDescent="0.25">
      <c r="A10" s="1"/>
      <c r="B10" s="1"/>
      <c r="C10" s="1"/>
      <c r="D10" s="1"/>
      <c r="E10" s="1"/>
      <c r="F10" s="1"/>
      <c r="G10" s="1"/>
      <c r="H10" s="1"/>
      <c r="I10" s="1"/>
      <c r="J10" s="1"/>
      <c r="K10" s="1"/>
      <c r="L10" s="1"/>
      <c r="M10" s="1"/>
      <c r="N10" s="1"/>
      <c r="O10" s="1"/>
      <c r="P10" s="1"/>
      <c r="Q10" s="1"/>
      <c r="R10" s="1"/>
      <c r="S10" s="1"/>
      <c r="T10" s="1"/>
      <c r="U10" s="1"/>
      <c r="W10" s="1"/>
      <c r="X10" s="1"/>
      <c r="Y10" s="1"/>
      <c r="Z10" s="1"/>
    </row>
    <row r="11" spans="1:2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x14ac:dyDescent="0.25">
      <c r="A29" s="1"/>
      <c r="B29" s="1"/>
      <c r="C29" s="1"/>
      <c r="D29" s="1"/>
      <c r="E29" s="1"/>
      <c r="F29" s="1"/>
      <c r="G29" s="1"/>
      <c r="H29" s="1"/>
      <c r="I29" s="1"/>
      <c r="J29" s="1"/>
      <c r="K29" s="1"/>
      <c r="L29" s="1"/>
      <c r="M29" s="1"/>
      <c r="N29" s="1"/>
      <c r="O29" s="1"/>
      <c r="P29" s="1"/>
      <c r="Q29" s="1"/>
      <c r="R29" s="1"/>
      <c r="S29" s="1"/>
      <c r="T29" s="1" t="s">
        <v>189</v>
      </c>
      <c r="U29" s="1"/>
      <c r="V29" s="1"/>
      <c r="W29" s="1"/>
      <c r="X29" s="1"/>
      <c r="Y29" s="1"/>
      <c r="Z29" s="1"/>
    </row>
    <row r="30" spans="1:2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971A-5083-4B5E-A2DC-6245711A1D5B}">
  <sheetPr codeName="Hoja3"/>
  <dimension ref="A1:N92"/>
  <sheetViews>
    <sheetView topLeftCell="A4" zoomScale="70" zoomScaleNormal="70" workbookViewId="0">
      <selection activeCell="C8" sqref="C8"/>
    </sheetView>
  </sheetViews>
  <sheetFormatPr baseColWidth="10" defaultRowHeight="15" x14ac:dyDescent="0.25"/>
  <cols>
    <col min="1" max="1" width="23.42578125" bestFit="1" customWidth="1"/>
    <col min="2" max="2" width="30" bestFit="1" customWidth="1"/>
    <col min="3" max="21" width="22.85546875" bestFit="1" customWidth="1"/>
    <col min="22" max="22" width="12.5703125" bestFit="1" customWidth="1"/>
  </cols>
  <sheetData>
    <row r="1" spans="1:7" x14ac:dyDescent="0.25">
      <c r="A1" s="20" t="s">
        <v>68</v>
      </c>
      <c r="B1" s="20" t="s">
        <v>70</v>
      </c>
      <c r="C1" s="20" t="s">
        <v>72</v>
      </c>
      <c r="F1" s="19" t="s">
        <v>73</v>
      </c>
      <c r="G1" s="19" t="s">
        <v>74</v>
      </c>
    </row>
    <row r="2" spans="1:7" x14ac:dyDescent="0.25">
      <c r="A2" s="14" t="s">
        <v>20</v>
      </c>
      <c r="B2">
        <v>20</v>
      </c>
      <c r="C2" s="15">
        <v>0.58823529411764708</v>
      </c>
      <c r="E2" s="19" t="s">
        <v>20</v>
      </c>
      <c r="F2" s="18">
        <f>IFERROR(GETPIVOTDATA("% de Genero",$A$1,"Genero","Femenino"),0)</f>
        <v>0.58823529411764708</v>
      </c>
      <c r="G2" s="18">
        <f>1-F2</f>
        <v>0.41176470588235292</v>
      </c>
    </row>
    <row r="3" spans="1:7" x14ac:dyDescent="0.25">
      <c r="A3" s="14" t="s">
        <v>19</v>
      </c>
      <c r="B3">
        <v>14</v>
      </c>
      <c r="C3" s="15">
        <v>0.41176470588235292</v>
      </c>
      <c r="E3" s="19" t="s">
        <v>19</v>
      </c>
      <c r="F3" s="18">
        <f>IFERROR(GETPIVOTDATA("% de Genero",$A$1,"Genero","Masculino"),0)</f>
        <v>0.41176470588235292</v>
      </c>
      <c r="G3" s="18">
        <f>1-F3</f>
        <v>0.58823529411764708</v>
      </c>
    </row>
    <row r="4" spans="1:7" x14ac:dyDescent="0.25">
      <c r="A4" s="14" t="s">
        <v>69</v>
      </c>
      <c r="B4">
        <v>34</v>
      </c>
      <c r="C4" s="15">
        <v>1</v>
      </c>
    </row>
    <row r="6" spans="1:7" x14ac:dyDescent="0.25">
      <c r="A6" s="16" t="s">
        <v>71</v>
      </c>
      <c r="B6" s="17">
        <f>GETPIVOTDATA("Cuenta de Genero",$A$1)</f>
        <v>34</v>
      </c>
    </row>
    <row r="11" spans="1:7" x14ac:dyDescent="0.25">
      <c r="A11" s="13" t="s">
        <v>68</v>
      </c>
      <c r="B11" t="s">
        <v>81</v>
      </c>
      <c r="D11" s="19" t="s">
        <v>177</v>
      </c>
    </row>
    <row r="12" spans="1:7" x14ac:dyDescent="0.25">
      <c r="A12" s="14" t="s">
        <v>44</v>
      </c>
      <c r="B12" s="15">
        <v>0.44117647058823528</v>
      </c>
      <c r="D12" s="23"/>
    </row>
    <row r="13" spans="1:7" x14ac:dyDescent="0.25">
      <c r="A13" s="14" t="s">
        <v>26</v>
      </c>
      <c r="B13" s="15">
        <v>0.35294117647058826</v>
      </c>
      <c r="D13" s="19" t="s">
        <v>73</v>
      </c>
      <c r="E13" s="18">
        <f>IFERROR(GETPIVOTDATA("Nivel_Ingles",$A$11,"Nivel_Ingles","Avanzado"),0)</f>
        <v>0.44117647058823528</v>
      </c>
    </row>
    <row r="14" spans="1:7" x14ac:dyDescent="0.25">
      <c r="A14" s="14" t="s">
        <v>27</v>
      </c>
      <c r="B14" s="15">
        <v>0.20588235294117646</v>
      </c>
      <c r="D14" s="19" t="s">
        <v>170</v>
      </c>
      <c r="E14" s="18">
        <v>0.05</v>
      </c>
    </row>
    <row r="15" spans="1:7" x14ac:dyDescent="0.25">
      <c r="A15" s="14" t="s">
        <v>69</v>
      </c>
      <c r="B15" s="15">
        <v>1</v>
      </c>
      <c r="D15" s="19" t="s">
        <v>171</v>
      </c>
      <c r="E15" s="18">
        <f>2.05-SUM(E13:E14)</f>
        <v>1.5588235294117645</v>
      </c>
    </row>
    <row r="22" spans="1:5" x14ac:dyDescent="0.25">
      <c r="A22" s="13" t="s">
        <v>68</v>
      </c>
      <c r="B22" t="s">
        <v>176</v>
      </c>
      <c r="D22" s="19" t="s">
        <v>178</v>
      </c>
    </row>
    <row r="23" spans="1:5" x14ac:dyDescent="0.25">
      <c r="A23" s="14" t="s">
        <v>174</v>
      </c>
      <c r="B23" s="15">
        <v>0.11764705882352941</v>
      </c>
      <c r="D23" s="23"/>
    </row>
    <row r="24" spans="1:5" x14ac:dyDescent="0.25">
      <c r="A24" s="14" t="s">
        <v>175</v>
      </c>
      <c r="B24" s="15">
        <v>0.23529411764705882</v>
      </c>
      <c r="D24" s="19" t="s">
        <v>73</v>
      </c>
      <c r="E24" s="18">
        <f>IFERROR(GETPIVOTDATA("Satisfaccion",$A$22,"Satisfaccion","Satisfecho"),0)</f>
        <v>0.6470588235294118</v>
      </c>
    </row>
    <row r="25" spans="1:5" x14ac:dyDescent="0.25">
      <c r="A25" s="14" t="s">
        <v>173</v>
      </c>
      <c r="B25" s="15">
        <v>0.6470588235294118</v>
      </c>
      <c r="D25" s="19" t="s">
        <v>170</v>
      </c>
      <c r="E25" s="18">
        <v>0.05</v>
      </c>
    </row>
    <row r="26" spans="1:5" x14ac:dyDescent="0.25">
      <c r="A26" s="14" t="s">
        <v>69</v>
      </c>
      <c r="B26" s="15">
        <v>1</v>
      </c>
      <c r="D26" s="19" t="s">
        <v>171</v>
      </c>
      <c r="E26" s="18">
        <f>2.05-SUM(E24:E25)</f>
        <v>1.3529411764705879</v>
      </c>
    </row>
    <row r="34" spans="1:9" x14ac:dyDescent="0.25">
      <c r="A34" s="13" t="s">
        <v>68</v>
      </c>
      <c r="B34" t="s">
        <v>179</v>
      </c>
      <c r="D34" s="19" t="s">
        <v>180</v>
      </c>
      <c r="I34" s="28">
        <v>0.1</v>
      </c>
    </row>
    <row r="35" spans="1:9" x14ac:dyDescent="0.25">
      <c r="A35" s="14" t="s">
        <v>42</v>
      </c>
      <c r="B35" s="15">
        <v>0.11764705882352941</v>
      </c>
      <c r="D35" s="23"/>
      <c r="I35" s="28">
        <v>0.2</v>
      </c>
    </row>
    <row r="36" spans="1:9" x14ac:dyDescent="0.25">
      <c r="A36" s="14" t="s">
        <v>52</v>
      </c>
      <c r="B36" s="15">
        <v>0.20588235294117646</v>
      </c>
      <c r="D36" s="19" t="s">
        <v>73</v>
      </c>
      <c r="E36" s="18">
        <f>IFERROR(GETPIVOTDATA("Estado Civil",$A$34,"Estado Civil","Soltero"),0)</f>
        <v>0.67647058823529416</v>
      </c>
      <c r="I36" s="28">
        <v>0.3</v>
      </c>
    </row>
    <row r="37" spans="1:9" x14ac:dyDescent="0.25">
      <c r="A37" s="14" t="s">
        <v>21</v>
      </c>
      <c r="B37" s="15">
        <v>0.67647058823529416</v>
      </c>
      <c r="D37" s="19" t="s">
        <v>170</v>
      </c>
      <c r="E37" s="18">
        <v>0.05</v>
      </c>
      <c r="I37" s="28">
        <v>0.4</v>
      </c>
    </row>
    <row r="38" spans="1:9" x14ac:dyDescent="0.25">
      <c r="A38" s="14" t="s">
        <v>69</v>
      </c>
      <c r="B38" s="15">
        <v>1</v>
      </c>
      <c r="D38" s="19" t="s">
        <v>171</v>
      </c>
      <c r="E38" s="18">
        <f>1.58-SUM(E36:E37)</f>
        <v>0.85352941176470587</v>
      </c>
      <c r="I38" s="28">
        <v>0.5</v>
      </c>
    </row>
    <row r="39" spans="1:9" x14ac:dyDescent="0.25">
      <c r="I39" s="28">
        <v>0.6</v>
      </c>
    </row>
    <row r="40" spans="1:9" x14ac:dyDescent="0.25">
      <c r="I40" s="28">
        <v>0.7</v>
      </c>
    </row>
    <row r="41" spans="1:9" x14ac:dyDescent="0.25">
      <c r="I41" s="28">
        <v>0.8</v>
      </c>
    </row>
    <row r="42" spans="1:9" x14ac:dyDescent="0.25">
      <c r="I42" s="28">
        <v>0.9</v>
      </c>
    </row>
    <row r="43" spans="1:9" x14ac:dyDescent="0.25">
      <c r="I43" s="28">
        <v>1</v>
      </c>
    </row>
    <row r="44" spans="1:9" x14ac:dyDescent="0.25">
      <c r="I44" s="28"/>
    </row>
    <row r="51" spans="1:14" ht="15.75" x14ac:dyDescent="0.25">
      <c r="A51" s="13" t="s">
        <v>68</v>
      </c>
      <c r="B51" t="s">
        <v>181</v>
      </c>
      <c r="D51" s="29" t="s">
        <v>182</v>
      </c>
    </row>
    <row r="52" spans="1:14" x14ac:dyDescent="0.25">
      <c r="A52" s="14" t="s">
        <v>31</v>
      </c>
      <c r="B52" s="15">
        <v>0.41176470588235292</v>
      </c>
    </row>
    <row r="53" spans="1:14" x14ac:dyDescent="0.25">
      <c r="A53" s="14" t="s">
        <v>33</v>
      </c>
      <c r="B53" s="15">
        <v>0.58823529411764708</v>
      </c>
      <c r="D53" s="19" t="s">
        <v>73</v>
      </c>
      <c r="E53" s="18">
        <f>IFERROR(GETPIVOTDATA("Tipo_Colegio",$A$51,"Tipo_Colegio","Privado"),0)</f>
        <v>0.58823529411764708</v>
      </c>
    </row>
    <row r="54" spans="1:14" x14ac:dyDescent="0.25">
      <c r="A54" s="14" t="s">
        <v>69</v>
      </c>
      <c r="B54" s="15">
        <v>1</v>
      </c>
    </row>
    <row r="55" spans="1:14" x14ac:dyDescent="0.25">
      <c r="D55" s="22" t="s">
        <v>183</v>
      </c>
      <c r="E55" s="30">
        <v>0.1</v>
      </c>
      <c r="F55" s="30">
        <v>0.1</v>
      </c>
      <c r="G55" s="30">
        <v>0.1</v>
      </c>
      <c r="H55" s="30">
        <v>0.1</v>
      </c>
      <c r="I55" s="30">
        <v>0.1</v>
      </c>
      <c r="J55" s="30">
        <v>0.1</v>
      </c>
      <c r="K55" s="30">
        <v>0.1</v>
      </c>
      <c r="L55" s="30">
        <v>0.1</v>
      </c>
      <c r="M55" s="30">
        <v>0.1</v>
      </c>
      <c r="N55" s="31">
        <v>0.1</v>
      </c>
    </row>
    <row r="56" spans="1:14" x14ac:dyDescent="0.25">
      <c r="D56" s="22" t="s">
        <v>184</v>
      </c>
      <c r="E56" s="32">
        <f>E53-F56</f>
        <v>0.53823529411764703</v>
      </c>
      <c r="F56" s="32">
        <v>0.05</v>
      </c>
      <c r="G56" s="32">
        <f>1-SUM((E56:F56))</f>
        <v>0.41176470588235292</v>
      </c>
      <c r="H56" s="32"/>
      <c r="I56" s="32"/>
      <c r="J56" s="32"/>
      <c r="K56" s="30"/>
      <c r="L56" s="30"/>
      <c r="M56" s="30"/>
      <c r="N56" s="30"/>
    </row>
    <row r="57" spans="1:14" x14ac:dyDescent="0.25">
      <c r="E57" s="39" t="s">
        <v>185</v>
      </c>
      <c r="F57" s="41" t="s">
        <v>170</v>
      </c>
      <c r="G57" s="39" t="s">
        <v>186</v>
      </c>
      <c r="H57" s="43"/>
    </row>
    <row r="58" spans="1:14" x14ac:dyDescent="0.25">
      <c r="E58" s="40"/>
      <c r="F58" s="42"/>
      <c r="G58" s="40"/>
      <c r="H58" s="44"/>
    </row>
    <row r="64" spans="1:14" x14ac:dyDescent="0.25">
      <c r="A64" s="13" t="s">
        <v>68</v>
      </c>
      <c r="B64" t="s">
        <v>187</v>
      </c>
      <c r="D64" s="22" t="s">
        <v>188</v>
      </c>
    </row>
    <row r="65" spans="1:5" x14ac:dyDescent="0.25">
      <c r="A65" s="14" t="s">
        <v>32</v>
      </c>
      <c r="B65" s="15">
        <v>0.79411764705882348</v>
      </c>
    </row>
    <row r="66" spans="1:5" x14ac:dyDescent="0.25">
      <c r="A66" s="14" t="s">
        <v>43</v>
      </c>
      <c r="B66" s="15">
        <v>0.20588235294117646</v>
      </c>
      <c r="D66" s="22" t="s">
        <v>73</v>
      </c>
      <c r="E66" s="22" t="s">
        <v>74</v>
      </c>
    </row>
    <row r="67" spans="1:5" x14ac:dyDescent="0.25">
      <c r="A67" s="14" t="s">
        <v>69</v>
      </c>
      <c r="B67" s="15">
        <v>1</v>
      </c>
      <c r="D67" s="30">
        <f>IFERROR(GETPIVOTDATA("Discapacidad",$A$64,"Discapacidad","SI"),0)</f>
        <v>0.20588235294117646</v>
      </c>
      <c r="E67" s="30">
        <f>1-D67</f>
        <v>0.79411764705882359</v>
      </c>
    </row>
    <row r="91" spans="1:3" x14ac:dyDescent="0.25">
      <c r="A91" t="s">
        <v>190</v>
      </c>
    </row>
    <row r="92" spans="1:3" x14ac:dyDescent="0.25">
      <c r="A92" s="9">
        <v>85200</v>
      </c>
      <c r="C92" s="33">
        <f>IFERROR(GETPIVOTDATA("PENSION",$A$91),0)</f>
        <v>85200</v>
      </c>
    </row>
  </sheetData>
  <mergeCells count="4">
    <mergeCell ref="E57:E58"/>
    <mergeCell ref="F57:F58"/>
    <mergeCell ref="G57:G58"/>
    <mergeCell ref="H57:H58"/>
  </mergeCells>
  <pageMargins left="0.7" right="0.7" top="0.75" bottom="0.75" header="0.3" footer="0.3"/>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INTRODUCCION</vt:lpstr>
      <vt:lpstr>BD_ESTUDIANTES</vt:lpstr>
      <vt:lpstr>CONSULTAS</vt:lpstr>
      <vt:lpstr>DASHBOARD</vt:lpstr>
      <vt:lpstr>CALCULOS</vt:lpstr>
      <vt:lpstr>CONSULTAS!Área_de_extracción</vt:lpstr>
      <vt:lpstr>BASEDATOS</vt:lpstr>
      <vt:lpstr>CONSULTAS!Criterios</vt:lpstr>
      <vt:lpstr>REGISTROS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Angel Lajo Bernahola</dc:creator>
  <cp:lastModifiedBy>Miguel Angel Lajo Bernahola</cp:lastModifiedBy>
  <cp:lastPrinted>2025-03-12T00:28:57Z</cp:lastPrinted>
  <dcterms:created xsi:type="dcterms:W3CDTF">2025-03-11T15:03:50Z</dcterms:created>
  <dcterms:modified xsi:type="dcterms:W3CDTF">2025-03-18T17:36:15Z</dcterms:modified>
</cp:coreProperties>
</file>